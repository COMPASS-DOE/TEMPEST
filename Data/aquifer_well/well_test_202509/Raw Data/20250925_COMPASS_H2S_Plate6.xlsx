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net-my.sharepoint.com/personal/readz_si_edu1/Documents/synoptic-discrete-data/Porewater/Sulfide/Synoptic_CB/2025/September/Raw Data/"/>
    </mc:Choice>
  </mc:AlternateContent>
  <xr:revisionPtr revIDLastSave="3" documentId="8_{CC5414A4-B7F8-47C9-87BD-4F280A618206}" xr6:coauthVersionLast="47" xr6:coauthVersionMax="47" xr10:uidLastSave="{49AC7DBD-64DF-4569-892F-DA295B60D21A}"/>
  <bookViews>
    <workbookView xWindow="-28920" yWindow="-60" windowWidth="29040" windowHeight="15720" xr2:uid="{0B0B4313-D15F-4D56-B951-581B53B7BF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/>
  <c r="K13" i="1"/>
  <c r="K14" i="1"/>
  <c r="K15" i="1"/>
  <c r="K16" i="1"/>
  <c r="K17" i="1"/>
  <c r="K18" i="1"/>
  <c r="K11" i="1"/>
  <c r="H12" i="1"/>
  <c r="H13" i="1"/>
  <c r="H14" i="1"/>
  <c r="H15" i="1"/>
  <c r="H16" i="1"/>
  <c r="H17" i="1"/>
  <c r="H18" i="1"/>
  <c r="H11" i="1"/>
  <c r="E12" i="1"/>
  <c r="E13" i="1"/>
  <c r="E14" i="1"/>
  <c r="E15" i="1"/>
  <c r="E16" i="1"/>
  <c r="E17" i="1"/>
  <c r="E18" i="1"/>
  <c r="E11" i="1"/>
  <c r="B12" i="1"/>
  <c r="B13" i="1"/>
  <c r="B14" i="1"/>
  <c r="B15" i="1"/>
  <c r="B16" i="1"/>
  <c r="B17" i="1"/>
  <c r="B18" i="1"/>
  <c r="B11" i="1"/>
</calcChain>
</file>

<file path=xl/sharedStrings.xml><?xml version="1.0" encoding="utf-8"?>
<sst xmlns="http://schemas.openxmlformats.org/spreadsheetml/2006/main" count="10" uniqueCount="9">
  <si>
    <t>A</t>
  </si>
  <si>
    <t>B</t>
  </si>
  <si>
    <t>C</t>
  </si>
  <si>
    <t>D</t>
  </si>
  <si>
    <t>E</t>
  </si>
  <si>
    <t>F</t>
  </si>
  <si>
    <t>G</t>
  </si>
  <si>
    <t>H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</si>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</sst>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3" borderId="0" xfId="0" applyFill="1"/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63652668416448"/>
                  <c:y val="1.361147564887722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Sheet1!$A$11:$A$16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Sheet1!$B$11:$B$16</c:f>
              <c:numCache>
                <c:formatCode>General</c:formatCode>
                <c:ptCount val="6"/>
                <c:pt idx="0">
                  <c:v>6.3E-2</c:v>
                </c:pt>
                <c:pt idx="1">
                  <c:v>0.12666666666666668</c:v>
                </c:pt>
                <c:pt idx="2">
                  <c:v>0.24166666666666667</c:v>
                </c:pt>
                <c:pt idx="3">
                  <c:v>0.42466666666666669</c:v>
                </c:pt>
                <c:pt idx="4">
                  <c:v>0.65400000000000003</c:v>
                </c:pt>
                <c:pt idx="5">
                  <c:v>1.2026666666666666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8F-4860-9935-43F63CF0F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4934584"/>
        <c:axId val="444933928"/>
      </c:scatterChart>
      <c:valAx>
        <c:axId val="444934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933928"/>
        <c:crosses val="autoZero"/>
        <c:crossBetween val="midCat"/>
      </c:valAx>
      <c:valAx>
        <c:axId val="444933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934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247650</xdr:colOff>
      <xdr:row>10</xdr:row>
      <xdr:rowOff>65087</xdr:rowOff>
    </xdr:from>
    <xdr:to>
      <xdr:col>20</xdr:col>
      <xdr:colOff>552450</xdr:colOff>
      <xdr:row>25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8B5E3C-8974-4BF3-90DA-49E567BB35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13384-A4CD-462E-A49D-7EED4846E5C9}">
  <dimension ref="A1:O18"/>
  <sheetViews>
    <sheetView tabSelected="1" workbookViewId="0">
      <selection activeCell="X21" sqref="X21"/>
    </sheetView>
  </sheetViews>
  <sheetFormatPr defaultRowHeight="14.5" x14ac:dyDescent="0.35"/>
  <sheetData>
    <row r="1" spans="1:15" x14ac:dyDescent="0.3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5" x14ac:dyDescent="0.35">
      <c r="A2" s="2" t="s">
        <v>0</v>
      </c>
      <c r="B2" s="3">
        <v>6.8000000000000005E-2</v>
      </c>
      <c r="C2" s="3">
        <v>0.06</v>
      </c>
      <c r="D2" s="3">
        <v>6.0999999999999999E-2</v>
      </c>
      <c r="E2" s="3">
        <v>7.0999999999999994E-2</v>
      </c>
      <c r="F2" s="3">
        <v>6.9000000000000006E-2</v>
      </c>
      <c r="G2" s="3">
        <v>6.2E-2</v>
      </c>
      <c r="H2" s="3">
        <v>7.0999999999999994E-2</v>
      </c>
      <c r="I2" s="3">
        <v>6.9000000000000006E-2</v>
      </c>
      <c r="J2" s="3">
        <v>7.3999999999999996E-2</v>
      </c>
      <c r="K2" s="3">
        <v>0.55500000000000005</v>
      </c>
      <c r="L2" s="3">
        <v>0.56999999999999995</v>
      </c>
      <c r="M2" s="3">
        <v>0.68799999999999994</v>
      </c>
      <c r="N2" s="4">
        <v>670</v>
      </c>
    </row>
    <row r="3" spans="1:15" x14ac:dyDescent="0.35">
      <c r="A3" s="2" t="s">
        <v>1</v>
      </c>
      <c r="B3" s="3">
        <v>0.13700000000000001</v>
      </c>
      <c r="C3" s="3">
        <v>0.121</v>
      </c>
      <c r="D3" s="3">
        <v>0.122</v>
      </c>
      <c r="E3" s="3">
        <v>6.6000000000000003E-2</v>
      </c>
      <c r="F3" s="3">
        <v>6.5000000000000002E-2</v>
      </c>
      <c r="G3" s="3">
        <v>6.8000000000000005E-2</v>
      </c>
      <c r="H3" s="3">
        <v>0.48399999999999999</v>
      </c>
      <c r="I3" s="3">
        <v>0.55100000000000005</v>
      </c>
      <c r="J3" s="3">
        <v>0.63600000000000001</v>
      </c>
      <c r="K3" s="3">
        <v>0.70299999999999996</v>
      </c>
      <c r="L3" s="3">
        <v>0.64</v>
      </c>
      <c r="M3" s="3">
        <v>0.64400000000000002</v>
      </c>
      <c r="N3" s="4">
        <v>670</v>
      </c>
    </row>
    <row r="4" spans="1:15" x14ac:dyDescent="0.35">
      <c r="A4" s="2" t="s">
        <v>2</v>
      </c>
      <c r="B4" s="3">
        <v>0.222</v>
      </c>
      <c r="C4" s="3">
        <v>0.255</v>
      </c>
      <c r="D4" s="3">
        <v>0.248</v>
      </c>
      <c r="E4" s="3">
        <v>6.8000000000000005E-2</v>
      </c>
      <c r="F4" s="3">
        <v>6.7000000000000004E-2</v>
      </c>
      <c r="G4" s="3">
        <v>6.7000000000000004E-2</v>
      </c>
      <c r="H4" s="3">
        <v>0.48699999999999999</v>
      </c>
      <c r="I4" s="3">
        <v>0.52800000000000002</v>
      </c>
      <c r="J4" s="3">
        <v>0.621</v>
      </c>
      <c r="K4" s="3">
        <v>0.437</v>
      </c>
      <c r="L4" s="3">
        <v>0.54100000000000004</v>
      </c>
      <c r="M4" s="3">
        <v>0.54600000000000004</v>
      </c>
      <c r="N4" s="4">
        <v>670</v>
      </c>
    </row>
    <row r="5" spans="1:15" x14ac:dyDescent="0.35">
      <c r="A5" s="2" t="s">
        <v>3</v>
      </c>
      <c r="B5" s="3">
        <v>0.41399999999999998</v>
      </c>
      <c r="C5" s="3">
        <v>0.41499999999999998</v>
      </c>
      <c r="D5" s="3">
        <v>0.44500000000000001</v>
      </c>
      <c r="E5" s="3">
        <v>6.0999999999999999E-2</v>
      </c>
      <c r="F5" s="3">
        <v>6.3E-2</v>
      </c>
      <c r="G5" s="3">
        <v>6.2E-2</v>
      </c>
      <c r="H5" s="3">
        <v>0.56999999999999995</v>
      </c>
      <c r="I5" s="3">
        <v>0.67</v>
      </c>
      <c r="J5" s="3">
        <v>0.72399999999999998</v>
      </c>
      <c r="K5" s="3">
        <v>0.10199999999999999</v>
      </c>
      <c r="L5" s="3">
        <v>0.105</v>
      </c>
      <c r="M5" s="3">
        <v>0.105</v>
      </c>
      <c r="N5" s="4">
        <v>670</v>
      </c>
    </row>
    <row r="6" spans="1:15" x14ac:dyDescent="0.35">
      <c r="A6" s="2" t="s">
        <v>4</v>
      </c>
      <c r="B6" s="3">
        <v>0.628</v>
      </c>
      <c r="C6" s="3">
        <v>0.66200000000000003</v>
      </c>
      <c r="D6" s="3">
        <v>0.67200000000000004</v>
      </c>
      <c r="E6" s="3">
        <v>6.3E-2</v>
      </c>
      <c r="F6" s="3">
        <v>6.4000000000000001E-2</v>
      </c>
      <c r="G6" s="3">
        <v>6.6000000000000003E-2</v>
      </c>
      <c r="H6" s="3">
        <v>0.42899999999999999</v>
      </c>
      <c r="I6" s="3">
        <v>0.32300000000000001</v>
      </c>
      <c r="J6" s="3">
        <v>0.33700000000000002</v>
      </c>
      <c r="K6" s="3">
        <v>2.6040000000000001</v>
      </c>
      <c r="L6" s="3">
        <v>2.8359999999999999</v>
      </c>
      <c r="M6" s="3">
        <v>2.819</v>
      </c>
      <c r="N6" s="4">
        <v>670</v>
      </c>
    </row>
    <row r="7" spans="1:15" x14ac:dyDescent="0.35">
      <c r="A7" s="2" t="s">
        <v>5</v>
      </c>
      <c r="B7" s="3">
        <v>1.2290000000000001</v>
      </c>
      <c r="C7" s="3">
        <v>1.204</v>
      </c>
      <c r="D7" s="3">
        <v>1.175</v>
      </c>
      <c r="E7" s="3">
        <v>7.0000000000000007E-2</v>
      </c>
      <c r="F7" s="3">
        <v>6.7000000000000004E-2</v>
      </c>
      <c r="G7" s="3">
        <v>6.6000000000000003E-2</v>
      </c>
      <c r="H7" s="3">
        <v>0.318</v>
      </c>
      <c r="I7" s="3">
        <v>0.376</v>
      </c>
      <c r="J7" s="3">
        <v>0.38700000000000001</v>
      </c>
      <c r="K7" s="3">
        <v>0.13200000000000001</v>
      </c>
      <c r="L7" s="3">
        <v>0.125</v>
      </c>
      <c r="M7" s="3">
        <v>0.13100000000000001</v>
      </c>
      <c r="N7" s="4">
        <v>670</v>
      </c>
    </row>
    <row r="8" spans="1:15" x14ac:dyDescent="0.35">
      <c r="A8" s="2" t="s">
        <v>6</v>
      </c>
      <c r="B8" s="3">
        <v>1.1579999999999999</v>
      </c>
      <c r="C8" s="3">
        <v>1.0880000000000001</v>
      </c>
      <c r="D8" s="3">
        <v>1.1419999999999999</v>
      </c>
      <c r="E8" s="3">
        <v>6.6000000000000003E-2</v>
      </c>
      <c r="F8" s="3">
        <v>6.7000000000000004E-2</v>
      </c>
      <c r="G8" s="3">
        <v>6.7000000000000004E-2</v>
      </c>
      <c r="H8" s="3">
        <v>0.26200000000000001</v>
      </c>
      <c r="I8" s="3">
        <v>0.24399999999999999</v>
      </c>
      <c r="J8" s="3">
        <v>0.21299999999999999</v>
      </c>
      <c r="K8" s="6">
        <v>0.14899999999999999</v>
      </c>
      <c r="L8" s="6">
        <v>0.106</v>
      </c>
      <c r="M8" s="6">
        <v>0.10100000000000001</v>
      </c>
      <c r="N8" s="4">
        <v>670</v>
      </c>
      <c r="O8" t="s">
        <v>8</v>
      </c>
    </row>
    <row r="9" spans="1:15" x14ac:dyDescent="0.35">
      <c r="A9" s="2" t="s">
        <v>7</v>
      </c>
      <c r="B9" s="3">
        <v>1.121</v>
      </c>
      <c r="C9" s="3">
        <v>1.244</v>
      </c>
      <c r="D9" s="3">
        <v>1.28</v>
      </c>
      <c r="E9" s="3">
        <v>6.8000000000000005E-2</v>
      </c>
      <c r="F9" s="3">
        <v>6.9000000000000006E-2</v>
      </c>
      <c r="G9" s="3">
        <v>6.7000000000000004E-2</v>
      </c>
      <c r="H9" s="3">
        <v>0.26400000000000001</v>
      </c>
      <c r="I9" s="3">
        <v>0.25700000000000001</v>
      </c>
      <c r="J9" s="3">
        <v>0.28299999999999997</v>
      </c>
      <c r="K9" s="6">
        <v>0.10199999999999999</v>
      </c>
      <c r="L9" s="6">
        <v>0.113</v>
      </c>
      <c r="M9" s="6">
        <v>0.109</v>
      </c>
      <c r="N9" s="4">
        <v>670</v>
      </c>
      <c r="O9" t="s">
        <v>8</v>
      </c>
    </row>
    <row r="11" spans="1:15" x14ac:dyDescent="0.35">
      <c r="A11">
        <v>0</v>
      </c>
      <c r="B11">
        <f>AVERAGE(B2:D2)</f>
        <v>6.3E-2</v>
      </c>
      <c r="E11">
        <f>AVERAGE(E2:G2)</f>
        <v>6.7333333333333342E-2</v>
      </c>
      <c r="H11">
        <f>AVERAGE(H2:J2)</f>
        <v>7.1333333333333346E-2</v>
      </c>
      <c r="K11">
        <f>AVERAGE(K2:M2)</f>
        <v>0.60433333333333328</v>
      </c>
    </row>
    <row r="12" spans="1:15" x14ac:dyDescent="0.35">
      <c r="A12">
        <v>5</v>
      </c>
      <c r="B12">
        <f t="shared" ref="B12:B18" si="0">AVERAGE(B3:D3)</f>
        <v>0.12666666666666668</v>
      </c>
      <c r="E12">
        <f t="shared" ref="E12:E18" si="1">AVERAGE(E3:G3)</f>
        <v>6.6333333333333341E-2</v>
      </c>
      <c r="H12">
        <f t="shared" ref="H12:H18" si="2">AVERAGE(H3:J3)</f>
        <v>0.55700000000000005</v>
      </c>
      <c r="K12">
        <f t="shared" ref="K12:K18" si="3">AVERAGE(K3:M3)</f>
        <v>0.66233333333333333</v>
      </c>
    </row>
    <row r="13" spans="1:15" x14ac:dyDescent="0.35">
      <c r="A13">
        <v>12.5</v>
      </c>
      <c r="B13">
        <f t="shared" si="0"/>
        <v>0.24166666666666667</v>
      </c>
      <c r="E13">
        <f t="shared" si="1"/>
        <v>6.7333333333333342E-2</v>
      </c>
      <c r="H13">
        <f t="shared" si="2"/>
        <v>0.54533333333333334</v>
      </c>
      <c r="K13">
        <f t="shared" si="3"/>
        <v>0.50800000000000001</v>
      </c>
    </row>
    <row r="14" spans="1:15" x14ac:dyDescent="0.35">
      <c r="A14">
        <v>25</v>
      </c>
      <c r="B14">
        <f t="shared" si="0"/>
        <v>0.42466666666666669</v>
      </c>
      <c r="E14">
        <f t="shared" si="1"/>
        <v>6.2E-2</v>
      </c>
      <c r="H14">
        <f t="shared" si="2"/>
        <v>0.65466666666666662</v>
      </c>
      <c r="K14">
        <f t="shared" si="3"/>
        <v>0.104</v>
      </c>
    </row>
    <row r="15" spans="1:15" x14ac:dyDescent="0.35">
      <c r="A15">
        <v>50</v>
      </c>
      <c r="B15">
        <f t="shared" si="0"/>
        <v>0.65400000000000003</v>
      </c>
      <c r="E15">
        <f t="shared" si="1"/>
        <v>6.433333333333334E-2</v>
      </c>
      <c r="H15">
        <f t="shared" si="2"/>
        <v>0.36299999999999999</v>
      </c>
      <c r="K15" s="5">
        <f t="shared" si="3"/>
        <v>2.7530000000000001</v>
      </c>
    </row>
    <row r="16" spans="1:15" x14ac:dyDescent="0.35">
      <c r="A16">
        <v>100</v>
      </c>
      <c r="B16">
        <f t="shared" si="0"/>
        <v>1.2026666666666666</v>
      </c>
      <c r="E16">
        <f t="shared" si="1"/>
        <v>6.7666666666666667E-2</v>
      </c>
      <c r="H16">
        <f t="shared" si="2"/>
        <v>0.36033333333333334</v>
      </c>
      <c r="K16">
        <f t="shared" si="3"/>
        <v>0.12933333333333333</v>
      </c>
    </row>
    <row r="17" spans="2:11" x14ac:dyDescent="0.35">
      <c r="B17">
        <f t="shared" si="0"/>
        <v>1.1293333333333333</v>
      </c>
      <c r="E17">
        <f t="shared" si="1"/>
        <v>6.6666666666666666E-2</v>
      </c>
      <c r="H17">
        <f t="shared" si="2"/>
        <v>0.23966666666666667</v>
      </c>
      <c r="K17">
        <f t="shared" si="3"/>
        <v>0.11866666666666666</v>
      </c>
    </row>
    <row r="18" spans="2:11" x14ac:dyDescent="0.35">
      <c r="B18">
        <f t="shared" si="0"/>
        <v>1.2150000000000001</v>
      </c>
      <c r="E18">
        <f t="shared" si="1"/>
        <v>6.8000000000000005E-2</v>
      </c>
      <c r="H18">
        <f t="shared" si="2"/>
        <v>0.26800000000000002</v>
      </c>
      <c r="K18">
        <f t="shared" si="3"/>
        <v>0.108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Read, Zoe</cp:lastModifiedBy>
  <dcterms:created xsi:type="dcterms:W3CDTF">2025-09-25T16:15:47Z</dcterms:created>
  <dcterms:modified xsi:type="dcterms:W3CDTF">2025-10-16T21:10:03Z</dcterms:modified>
</cp:coreProperties>
</file>