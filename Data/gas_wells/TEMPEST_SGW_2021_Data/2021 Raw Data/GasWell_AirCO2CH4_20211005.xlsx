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1_Data/2021 Raw Data/"/>
    </mc:Choice>
  </mc:AlternateContent>
  <xr:revisionPtr revIDLastSave="0" documentId="13_ncr:1_{164A5857-D9B2-4300-B898-099439FBAB4A}" xr6:coauthVersionLast="47" xr6:coauthVersionMax="47" xr10:uidLastSave="{00000000-0000-0000-0000-000000000000}"/>
  <bookViews>
    <workbookView xWindow="-19320" yWindow="690" windowWidth="19440" windowHeight="1488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6" i="1" l="1"/>
  <c r="I53" i="1"/>
  <c r="P42" i="1" l="1"/>
  <c r="P43" i="1"/>
  <c r="P41" i="1"/>
  <c r="O42" i="1"/>
  <c r="P29" i="1"/>
  <c r="O29" i="1"/>
  <c r="P8" i="1"/>
  <c r="O43" i="1" l="1"/>
  <c r="O41" i="1"/>
  <c r="O38" i="1"/>
  <c r="O14" i="1"/>
  <c r="P14" i="1"/>
  <c r="P11" i="1"/>
  <c r="P38" i="1" l="1"/>
  <c r="P35" i="1"/>
  <c r="O35" i="1"/>
  <c r="P32" i="1"/>
  <c r="O32" i="1"/>
  <c r="O26" i="1"/>
  <c r="P20" i="1"/>
  <c r="O20" i="1"/>
  <c r="P17" i="1"/>
  <c r="O17" i="1"/>
  <c r="O11" i="1"/>
  <c r="O8" i="1"/>
  <c r="AA31" i="1" l="1"/>
  <c r="AA14" i="1"/>
  <c r="AA30" i="1"/>
  <c r="AA29" i="1"/>
  <c r="AA15" i="1"/>
  <c r="AA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D53" i="2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54" i="1"/>
  <c r="D58" i="2" s="1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27" i="2" l="1"/>
  <c r="O27" i="2" s="1"/>
  <c r="M27" i="2"/>
  <c r="N7" i="2"/>
  <c r="O7" i="2" s="1"/>
  <c r="M7" i="2"/>
  <c r="M12" i="2"/>
  <c r="N12" i="2"/>
  <c r="O12" i="2" s="1"/>
  <c r="N57" i="2"/>
  <c r="O57" i="2" s="1"/>
  <c r="M57" i="2"/>
  <c r="N37" i="2"/>
  <c r="O37" i="2" s="1"/>
  <c r="M37" i="2"/>
  <c r="M2" i="2"/>
  <c r="N2" i="2"/>
  <c r="O2" i="2" s="1"/>
  <c r="N47" i="2"/>
  <c r="O47" i="2" s="1"/>
  <c r="M47" i="2"/>
  <c r="M52" i="2"/>
  <c r="N52" i="2"/>
  <c r="O52" i="2" s="1"/>
  <c r="N22" i="2"/>
  <c r="O22" i="2" s="1"/>
  <c r="M22" i="2"/>
  <c r="N17" i="2"/>
  <c r="O17" i="2" s="1"/>
  <c r="M17" i="2"/>
  <c r="N42" i="2"/>
  <c r="O42" i="2" s="1"/>
  <c r="M42" i="2"/>
  <c r="M32" i="2"/>
  <c r="N32" i="2"/>
  <c r="O32" i="2" s="1"/>
  <c r="J2" i="2"/>
  <c r="K2" i="2"/>
  <c r="L2" i="2" s="1"/>
  <c r="K27" i="2"/>
  <c r="L27" i="2" s="1"/>
  <c r="J27" i="2"/>
  <c r="K42" i="2"/>
  <c r="L42" i="2" s="1"/>
  <c r="J42" i="2"/>
  <c r="J32" i="2"/>
  <c r="K32" i="2"/>
  <c r="L32" i="2" s="1"/>
  <c r="J12" i="2"/>
  <c r="K12" i="2"/>
  <c r="L12" i="2" s="1"/>
  <c r="J22" i="2"/>
  <c r="K22" i="2"/>
  <c r="L22" i="2" s="1"/>
  <c r="J7" i="2"/>
  <c r="K7" i="2"/>
  <c r="L7" i="2" s="1"/>
  <c r="J57" i="2"/>
  <c r="K57" i="2"/>
  <c r="L57" i="2" s="1"/>
  <c r="K17" i="2"/>
  <c r="L17" i="2" s="1"/>
  <c r="J17" i="2"/>
  <c r="K37" i="2"/>
  <c r="L37" i="2" s="1"/>
  <c r="J37" i="2"/>
  <c r="K52" i="2"/>
  <c r="L52" i="2" s="1"/>
  <c r="J52" i="2"/>
  <c r="K47" i="2"/>
  <c r="L47" i="2" s="1"/>
  <c r="J47" i="2"/>
</calcChain>
</file>

<file path=xl/sharedStrings.xml><?xml version="1.0" encoding="utf-8"?>
<sst xmlns="http://schemas.openxmlformats.org/spreadsheetml/2006/main" count="320" uniqueCount="51">
  <si>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</si>
  <si>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</si>
  <si>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</si>
  <si>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</si>
  <si>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</si>
  <si>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</si>
  <si>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</si>
  <si>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</si>
  <si>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</si>
  <si>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</si>
  <si>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</si>
  <si>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</si>
  <si>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</si>
  <si>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</si>
  <si>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</si>
  <si>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</si>
  <si>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</si>
  <si>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</si>
  <si>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</si>
  <si>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</si>
  <si>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</si>
  <si>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</si>
  <si>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</si>
  <si>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</si>
  <si>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</si>
  <si>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</si>
  <si>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</si>
  <si>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</si>
  <si>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</si>
  <si>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</si>
  <si>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</si>
  <si>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</si>
  <si>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</si>
  <si>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</si>
  <si>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</si>
  <si>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</si>
  <si>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</si>
  <si>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</si>
  <si>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</si>
  <si>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</si>
  <si>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</si>
  <si>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</si>
  <si>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</si>
  <si>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</si>
  <si>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</si>
  <si>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</si>
  <si>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</si>
  <si>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`</t>
  </si>
  <si>
    <t>No CO2 data for STD1</t>
  </si>
  <si>
    <t>notes:</t>
  </si>
  <si>
    <t>Analyst: A. Stearns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</si>
</sst>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14" fontId="1" fillId="0" borderId="4" xfId="0" applyNumberFormat="1" applyFont="1" applyBorder="1"/>
    <xf numFmtId="14" fontId="4" fillId="0" borderId="4" xfId="0" applyNumberFormat="1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4" fillId="0" borderId="6" xfId="0" applyNumberFormat="1" applyFont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Border="1"/>
    <xf numFmtId="0" fontId="4" fillId="0" borderId="2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Border="1"/>
    <xf numFmtId="14" fontId="1" fillId="2" borderId="10" xfId="0" applyNumberFormat="1" applyFont="1" applyFill="1" applyBorder="1"/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4368.666666666667</c:v>
                </c:pt>
                <c:pt idx="3">
                  <c:v>3345</c:v>
                </c:pt>
                <c:pt idx="6">
                  <c:v>2340.3333333333335</c:v>
                </c:pt>
                <c:pt idx="9">
                  <c:v>1528</c:v>
                </c:pt>
                <c:pt idx="12">
                  <c:v>777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227126.5</c:v>
                </c:pt>
                <c:pt idx="3">
                  <c:v>162710.66666666666</c:v>
                </c:pt>
                <c:pt idx="6">
                  <c:v>109072.33333333333</c:v>
                </c:pt>
                <c:pt idx="9">
                  <c:v>67730</c:v>
                </c:pt>
                <c:pt idx="12">
                  <c:v>31062</c:v>
                </c:pt>
                <c:pt idx="15">
                  <c:v>296446</c:v>
                </c:pt>
                <c:pt idx="16">
                  <c:v>647384</c:v>
                </c:pt>
                <c:pt idx="17">
                  <c:v>1241409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0.10175946507262587</c:v>
                  </c:pt>
                  <c:pt idx="1">
                    <c:v>0.10515248567655248</c:v>
                  </c:pt>
                  <c:pt idx="2">
                    <c:v>8.9318472448286432E-2</c:v>
                  </c:pt>
                  <c:pt idx="3">
                    <c:v>6.1722477453944873E-2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0.10175946507262587</c:v>
                  </c:pt>
                  <c:pt idx="1">
                    <c:v>0.10515248567655248</c:v>
                  </c:pt>
                  <c:pt idx="2">
                    <c:v>8.9318472448286432E-2</c:v>
                  </c:pt>
                  <c:pt idx="3">
                    <c:v>6.1722477453944873E-2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0.4018535999473235</c:v>
                </c:pt>
                <c:pt idx="1">
                  <c:v>-0.27109480309671863</c:v>
                </c:pt>
                <c:pt idx="2">
                  <c:v>-0.39440995548698815</c:v>
                </c:pt>
                <c:pt idx="3">
                  <c:v>-0.49423650742196817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8.5487248169262925E-2</c:v>
                  </c:pt>
                  <c:pt idx="1">
                    <c:v>3.2790699431136133E-2</c:v>
                  </c:pt>
                  <c:pt idx="2">
                    <c:v>3.5360985220100859E-2</c:v>
                  </c:pt>
                  <c:pt idx="3">
                    <c:v>4.9345475621141895E-2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8.5487248169262925E-2</c:v>
                  </c:pt>
                  <c:pt idx="1">
                    <c:v>3.2790699431136133E-2</c:v>
                  </c:pt>
                  <c:pt idx="2">
                    <c:v>3.5360985220100859E-2</c:v>
                  </c:pt>
                  <c:pt idx="3">
                    <c:v>4.9345475621141895E-2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8.2150426346310881E-2</c:v>
                  </c:pt>
                  <c:pt idx="1">
                    <c:v>6.4709211444378564E-2</c:v>
                  </c:pt>
                  <c:pt idx="2">
                    <c:v>4.4909046551343479E-2</c:v>
                  </c:pt>
                  <c:pt idx="3">
                    <c:v>6.0719912548337071E-2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8.2150426346310881E-2</c:v>
                  </c:pt>
                  <c:pt idx="1">
                    <c:v>6.4709211444378564E-2</c:v>
                  </c:pt>
                  <c:pt idx="2">
                    <c:v>4.4909046551343479E-2</c:v>
                  </c:pt>
                  <c:pt idx="3">
                    <c:v>6.0719912548337071E-2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0.27110039074621239</c:v>
                </c:pt>
                <c:pt idx="1">
                  <c:v>-0.41868150929078707</c:v>
                </c:pt>
                <c:pt idx="2">
                  <c:v>-0.52868645475639264</c:v>
                </c:pt>
                <c:pt idx="3">
                  <c:v>-0.69388961129192839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8.2150426346310881E-2</c:v>
                  </c:pt>
                  <c:pt idx="1">
                    <c:v>6.4709211444378564E-2</c:v>
                  </c:pt>
                  <c:pt idx="2">
                    <c:v>4.4909046551343479E-2</c:v>
                  </c:pt>
                  <c:pt idx="3">
                    <c:v>6.0719912548337071E-2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8.2150426346310881E-2</c:v>
                  </c:pt>
                  <c:pt idx="1">
                    <c:v>6.4709211444378564E-2</c:v>
                  </c:pt>
                  <c:pt idx="2">
                    <c:v>4.4909046551343479E-2</c:v>
                  </c:pt>
                  <c:pt idx="3">
                    <c:v>6.0719912548337071E-2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8.5487248169262925E-2</c:v>
                  </c:pt>
                  <c:pt idx="1">
                    <c:v>3.2790699431136133E-2</c:v>
                  </c:pt>
                  <c:pt idx="2">
                    <c:v>3.5360985220100859E-2</c:v>
                  </c:pt>
                  <c:pt idx="3">
                    <c:v>4.9345475621141895E-2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8.5487248169262925E-2</c:v>
                  </c:pt>
                  <c:pt idx="1">
                    <c:v>3.2790699431136133E-2</c:v>
                  </c:pt>
                  <c:pt idx="2">
                    <c:v>3.5360985220100859E-2</c:v>
                  </c:pt>
                  <c:pt idx="3">
                    <c:v>4.9345475621141895E-2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0.10589723421067676</c:v>
                </c:pt>
                <c:pt idx="1">
                  <c:v>-0.55922163534826885</c:v>
                </c:pt>
                <c:pt idx="2">
                  <c:v>-0.68253678773853843</c:v>
                </c:pt>
                <c:pt idx="3">
                  <c:v>-0.73538613876293968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0.2296038632752011</c:v>
                </c:pt>
                <c:pt idx="1">
                  <c:v>-0.27540104651352171</c:v>
                </c:pt>
                <c:pt idx="2">
                  <c:v>-0.5200739679227866</c:v>
                </c:pt>
                <c:pt idx="3">
                  <c:v>-0.71189753830765024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0.7306940063213756</c:v>
                </c:pt>
                <c:pt idx="1">
                  <c:v>6.5183660088174999E-2</c:v>
                </c:pt>
                <c:pt idx="2">
                  <c:v>-0.23233861234549114</c:v>
                </c:pt>
                <c:pt idx="3">
                  <c:v>-0.3556537647357606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0.49385061839720712</c:v>
                </c:pt>
                <c:pt idx="1">
                  <c:v>-0.21472216200402405</c:v>
                </c:pt>
                <c:pt idx="2">
                  <c:v>-0.22255169548912046</c:v>
                </c:pt>
                <c:pt idx="3">
                  <c:v>-0.45743770004201478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0.15522329516678446</c:v>
                </c:pt>
                <c:pt idx="1">
                  <c:v>-0.34390946450811588</c:v>
                </c:pt>
                <c:pt idx="2">
                  <c:v>-0.31650609731027823</c:v>
                </c:pt>
                <c:pt idx="3">
                  <c:v>-0.41241788250271005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0.39989621657604935</c:v>
                </c:pt>
                <c:pt idx="1">
                  <c:v>-0.58662500254610661</c:v>
                </c:pt>
                <c:pt idx="2">
                  <c:v>-0.68057940436726438</c:v>
                </c:pt>
                <c:pt idx="3">
                  <c:v>-0.53377565152170536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0.10433132751365748</c:v>
                </c:pt>
                <c:pt idx="1">
                  <c:v>-0.51224443443769008</c:v>
                </c:pt>
                <c:pt idx="2">
                  <c:v>-0.46135246678456299</c:v>
                </c:pt>
                <c:pt idx="3">
                  <c:v>-0.71972707179274675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9.8459177399835118E-2</c:v>
                </c:pt>
                <c:pt idx="1">
                  <c:v>-0.46135246678456299</c:v>
                </c:pt>
                <c:pt idx="2">
                  <c:v>-0.62773005334286314</c:v>
                </c:pt>
                <c:pt idx="3">
                  <c:v>-0.77061903944587384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0.50168015188230353</c:v>
                </c:pt>
                <c:pt idx="1">
                  <c:v>-0.38305713193359825</c:v>
                </c:pt>
                <c:pt idx="2">
                  <c:v>-0.60032668614502549</c:v>
                </c:pt>
                <c:pt idx="3">
                  <c:v>-0.75691735584695496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0.20415787944863761</c:v>
                </c:pt>
                <c:pt idx="1">
                  <c:v>-0.41633264924525826</c:v>
                </c:pt>
                <c:pt idx="2">
                  <c:v>-0.46722461689838535</c:v>
                </c:pt>
                <c:pt idx="3">
                  <c:v>-0.50050013421004536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0.44687341748662823</c:v>
                </c:pt>
                <c:pt idx="1">
                  <c:v>-0.32042086405282633</c:v>
                </c:pt>
                <c:pt idx="2">
                  <c:v>-0.48679845061112659</c:v>
                </c:pt>
                <c:pt idx="3">
                  <c:v>-0.7216844551640208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0.21785956304755638</c:v>
                </c:pt>
                <c:pt idx="1">
                  <c:v>-0.47505415038348187</c:v>
                </c:pt>
                <c:pt idx="2">
                  <c:v>-0.66492033739707135</c:v>
                </c:pt>
                <c:pt idx="3">
                  <c:v>-0.83717007406919386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3.7780292890337464E-2</c:v>
                </c:pt>
                <c:pt idx="1">
                  <c:v>-0.38697189867614645</c:v>
                </c:pt>
                <c:pt idx="2">
                  <c:v>-0.62577266997158898</c:v>
                </c:pt>
                <c:pt idx="3">
                  <c:v>-0.4985427508387712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0.17479712887952581</c:v>
                </c:pt>
                <c:pt idx="1">
                  <c:v>-0.74517305561931024</c:v>
                </c:pt>
                <c:pt idx="2">
                  <c:v>-0.59053976928865481</c:v>
                </c:pt>
                <c:pt idx="3">
                  <c:v>-0.75495997247568081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0.28049583092832808</c:v>
                </c:pt>
                <c:pt idx="1">
                  <c:v>-0.5239887346653348</c:v>
                </c:pt>
                <c:pt idx="2">
                  <c:v>-0.68057940436726438</c:v>
                </c:pt>
                <c:pt idx="3">
                  <c:v>-0.80389455675753385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-0.18144664469236393</c:v>
                </c:pt>
                <c:pt idx="1">
                  <c:v>-0.66492033739707135</c:v>
                </c:pt>
                <c:pt idx="2">
                  <c:v>-0.85087175766811263</c:v>
                </c:pt>
                <c:pt idx="3">
                  <c:v>-0.78236333967351857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0.2296038632752011</c:v>
                </c:pt>
                <c:pt idx="1">
                  <c:v>0.7306940063213756</c:v>
                </c:pt>
                <c:pt idx="2">
                  <c:v>0.49385061839720712</c:v>
                </c:pt>
                <c:pt idx="3">
                  <c:v>0.15522329516678446</c:v>
                </c:pt>
                <c:pt idx="4">
                  <c:v>0.39989621657604935</c:v>
                </c:pt>
                <c:pt idx="5">
                  <c:v>0.10433132751365748</c:v>
                </c:pt>
                <c:pt idx="6">
                  <c:v>9.8459177399835118E-2</c:v>
                </c:pt>
                <c:pt idx="7">
                  <c:v>0.50168015188230353</c:v>
                </c:pt>
                <c:pt idx="8">
                  <c:v>0.20415787944863761</c:v>
                </c:pt>
                <c:pt idx="9">
                  <c:v>0.44687341748662823</c:v>
                </c:pt>
                <c:pt idx="10">
                  <c:v>0.21785956304755638</c:v>
                </c:pt>
                <c:pt idx="11">
                  <c:v>3.7780292890337464E-2</c:v>
                </c:pt>
                <c:pt idx="12">
                  <c:v>0.17479712887952581</c:v>
                </c:pt>
                <c:pt idx="13">
                  <c:v>0.28049583092832808</c:v>
                </c:pt>
                <c:pt idx="14">
                  <c:v>-0.18144664469236393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-0.27540104651352171</c:v>
                </c:pt>
                <c:pt idx="1">
                  <c:v>6.5183660088174999E-2</c:v>
                </c:pt>
                <c:pt idx="2">
                  <c:v>-0.21472216200402405</c:v>
                </c:pt>
                <c:pt idx="3">
                  <c:v>-0.34390946450811588</c:v>
                </c:pt>
                <c:pt idx="4">
                  <c:v>-0.58662500254610661</c:v>
                </c:pt>
                <c:pt idx="5">
                  <c:v>-0.51224443443769008</c:v>
                </c:pt>
                <c:pt idx="6">
                  <c:v>-0.46135246678456299</c:v>
                </c:pt>
                <c:pt idx="7">
                  <c:v>-0.38305713193359825</c:v>
                </c:pt>
                <c:pt idx="8">
                  <c:v>-0.41633264924525826</c:v>
                </c:pt>
                <c:pt idx="9">
                  <c:v>-0.32042086405282633</c:v>
                </c:pt>
                <c:pt idx="10">
                  <c:v>-0.47505415038348187</c:v>
                </c:pt>
                <c:pt idx="11">
                  <c:v>-0.38697189867614645</c:v>
                </c:pt>
                <c:pt idx="12">
                  <c:v>-0.74517305561931024</c:v>
                </c:pt>
                <c:pt idx="13">
                  <c:v>-0.5239887346653348</c:v>
                </c:pt>
                <c:pt idx="14">
                  <c:v>-0.66492033739707135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-0.5200739679227866</c:v>
                </c:pt>
                <c:pt idx="1">
                  <c:v>-0.23233861234549114</c:v>
                </c:pt>
                <c:pt idx="2">
                  <c:v>-0.22255169548912046</c:v>
                </c:pt>
                <c:pt idx="3">
                  <c:v>-0.31650609731027823</c:v>
                </c:pt>
                <c:pt idx="4">
                  <c:v>-0.68057940436726438</c:v>
                </c:pt>
                <c:pt idx="5">
                  <c:v>-0.46135246678456299</c:v>
                </c:pt>
                <c:pt idx="6">
                  <c:v>-0.62773005334286314</c:v>
                </c:pt>
                <c:pt idx="7">
                  <c:v>-0.60032668614502549</c:v>
                </c:pt>
                <c:pt idx="8">
                  <c:v>-0.46722461689838535</c:v>
                </c:pt>
                <c:pt idx="9">
                  <c:v>-0.48679845061112659</c:v>
                </c:pt>
                <c:pt idx="10">
                  <c:v>-0.66492033739707135</c:v>
                </c:pt>
                <c:pt idx="11">
                  <c:v>-0.62577266997158898</c:v>
                </c:pt>
                <c:pt idx="12">
                  <c:v>-0.59053976928865481</c:v>
                </c:pt>
                <c:pt idx="13">
                  <c:v>-0.68057940436726438</c:v>
                </c:pt>
                <c:pt idx="14">
                  <c:v>-0.85087175766811263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0.2296038632752011</c:v>
                </c:pt>
                <c:pt idx="1">
                  <c:v>0.7306940063213756</c:v>
                </c:pt>
                <c:pt idx="2">
                  <c:v>0.49385061839720712</c:v>
                </c:pt>
                <c:pt idx="3">
                  <c:v>0.15522329516678446</c:v>
                </c:pt>
                <c:pt idx="4">
                  <c:v>0.39989621657604935</c:v>
                </c:pt>
                <c:pt idx="5">
                  <c:v>0.10433132751365748</c:v>
                </c:pt>
                <c:pt idx="6">
                  <c:v>9.8459177399835118E-2</c:v>
                </c:pt>
                <c:pt idx="7">
                  <c:v>0.50168015188230353</c:v>
                </c:pt>
                <c:pt idx="8">
                  <c:v>0.20415787944863761</c:v>
                </c:pt>
                <c:pt idx="9">
                  <c:v>0.44687341748662823</c:v>
                </c:pt>
                <c:pt idx="10">
                  <c:v>0.21785956304755638</c:v>
                </c:pt>
                <c:pt idx="11">
                  <c:v>3.7780292890337464E-2</c:v>
                </c:pt>
                <c:pt idx="12">
                  <c:v>0.17479712887952581</c:v>
                </c:pt>
                <c:pt idx="13">
                  <c:v>0.28049583092832808</c:v>
                </c:pt>
                <c:pt idx="14">
                  <c:v>-0.18144664469236393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-0.27540104651352171</c:v>
                </c:pt>
                <c:pt idx="1">
                  <c:v>6.5183660088174999E-2</c:v>
                </c:pt>
                <c:pt idx="2">
                  <c:v>-0.21472216200402405</c:v>
                </c:pt>
                <c:pt idx="3">
                  <c:v>-0.34390946450811588</c:v>
                </c:pt>
                <c:pt idx="4">
                  <c:v>-0.58662500254610661</c:v>
                </c:pt>
                <c:pt idx="5">
                  <c:v>-0.51224443443769008</c:v>
                </c:pt>
                <c:pt idx="6">
                  <c:v>-0.46135246678456299</c:v>
                </c:pt>
                <c:pt idx="7">
                  <c:v>-0.38305713193359825</c:v>
                </c:pt>
                <c:pt idx="8">
                  <c:v>-0.41633264924525826</c:v>
                </c:pt>
                <c:pt idx="9">
                  <c:v>-0.32042086405282633</c:v>
                </c:pt>
                <c:pt idx="10">
                  <c:v>-0.47505415038348187</c:v>
                </c:pt>
                <c:pt idx="11">
                  <c:v>-0.38697189867614645</c:v>
                </c:pt>
                <c:pt idx="12">
                  <c:v>-0.74517305561931024</c:v>
                </c:pt>
                <c:pt idx="13">
                  <c:v>-0.5239887346653348</c:v>
                </c:pt>
                <c:pt idx="14">
                  <c:v>-0.66492033739707135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-0.5200739679227866</c:v>
                </c:pt>
                <c:pt idx="1">
                  <c:v>-0.23233861234549114</c:v>
                </c:pt>
                <c:pt idx="2">
                  <c:v>-0.22255169548912046</c:v>
                </c:pt>
                <c:pt idx="3">
                  <c:v>-0.31650609731027823</c:v>
                </c:pt>
                <c:pt idx="4">
                  <c:v>-0.68057940436726438</c:v>
                </c:pt>
                <c:pt idx="5">
                  <c:v>-0.46135246678456299</c:v>
                </c:pt>
                <c:pt idx="6">
                  <c:v>-0.62773005334286314</c:v>
                </c:pt>
                <c:pt idx="7">
                  <c:v>-0.60032668614502549</c:v>
                </c:pt>
                <c:pt idx="8">
                  <c:v>-0.46722461689838535</c:v>
                </c:pt>
                <c:pt idx="9">
                  <c:v>-0.48679845061112659</c:v>
                </c:pt>
                <c:pt idx="10">
                  <c:v>-0.66492033739707135</c:v>
                </c:pt>
                <c:pt idx="11">
                  <c:v>-0.62577266997158898</c:v>
                </c:pt>
                <c:pt idx="12">
                  <c:v>-0.59053976928865481</c:v>
                </c:pt>
                <c:pt idx="13">
                  <c:v>-0.68057940436726438</c:v>
                </c:pt>
                <c:pt idx="14">
                  <c:v>-0.85087175766811263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0.2296038632752011</c:v>
                </c:pt>
                <c:pt idx="1">
                  <c:v>0.7306940063213756</c:v>
                </c:pt>
                <c:pt idx="2">
                  <c:v>0.49385061839720712</c:v>
                </c:pt>
                <c:pt idx="3">
                  <c:v>0.15522329516678446</c:v>
                </c:pt>
                <c:pt idx="4">
                  <c:v>0.39989621657604935</c:v>
                </c:pt>
                <c:pt idx="5">
                  <c:v>0.10433132751365748</c:v>
                </c:pt>
                <c:pt idx="6">
                  <c:v>9.8459177399835118E-2</c:v>
                </c:pt>
                <c:pt idx="7">
                  <c:v>0.50168015188230353</c:v>
                </c:pt>
                <c:pt idx="8">
                  <c:v>0.20415787944863761</c:v>
                </c:pt>
                <c:pt idx="9">
                  <c:v>0.44687341748662823</c:v>
                </c:pt>
                <c:pt idx="10">
                  <c:v>0.21785956304755638</c:v>
                </c:pt>
                <c:pt idx="11">
                  <c:v>3.7780292890337464E-2</c:v>
                </c:pt>
                <c:pt idx="12">
                  <c:v>0.17479712887952581</c:v>
                </c:pt>
                <c:pt idx="13">
                  <c:v>0.28049583092832808</c:v>
                </c:pt>
                <c:pt idx="14">
                  <c:v>-0.18144664469236393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-0.27540104651352171</c:v>
                </c:pt>
                <c:pt idx="1">
                  <c:v>6.5183660088174999E-2</c:v>
                </c:pt>
                <c:pt idx="2">
                  <c:v>-0.21472216200402405</c:v>
                </c:pt>
                <c:pt idx="3">
                  <c:v>-0.34390946450811588</c:v>
                </c:pt>
                <c:pt idx="4">
                  <c:v>-0.58662500254610661</c:v>
                </c:pt>
                <c:pt idx="5">
                  <c:v>-0.51224443443769008</c:v>
                </c:pt>
                <c:pt idx="6">
                  <c:v>-0.46135246678456299</c:v>
                </c:pt>
                <c:pt idx="7">
                  <c:v>-0.38305713193359825</c:v>
                </c:pt>
                <c:pt idx="8">
                  <c:v>-0.41633264924525826</c:v>
                </c:pt>
                <c:pt idx="9">
                  <c:v>-0.32042086405282633</c:v>
                </c:pt>
                <c:pt idx="10">
                  <c:v>-0.47505415038348187</c:v>
                </c:pt>
                <c:pt idx="11">
                  <c:v>-0.38697189867614645</c:v>
                </c:pt>
                <c:pt idx="12">
                  <c:v>-0.74517305561931024</c:v>
                </c:pt>
                <c:pt idx="13">
                  <c:v>-0.5239887346653348</c:v>
                </c:pt>
                <c:pt idx="14">
                  <c:v>-0.66492033739707135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-0.5200739679227866</c:v>
                </c:pt>
                <c:pt idx="1">
                  <c:v>-0.23233861234549114</c:v>
                </c:pt>
                <c:pt idx="2">
                  <c:v>-0.22255169548912046</c:v>
                </c:pt>
                <c:pt idx="3">
                  <c:v>-0.31650609731027823</c:v>
                </c:pt>
                <c:pt idx="4">
                  <c:v>-0.68057940436726438</c:v>
                </c:pt>
                <c:pt idx="5">
                  <c:v>-0.46135246678456299</c:v>
                </c:pt>
                <c:pt idx="6">
                  <c:v>-0.62773005334286314</c:v>
                </c:pt>
                <c:pt idx="7">
                  <c:v>-0.60032668614502549</c:v>
                </c:pt>
                <c:pt idx="8">
                  <c:v>-0.46722461689838535</c:v>
                </c:pt>
                <c:pt idx="9">
                  <c:v>-0.48679845061112659</c:v>
                </c:pt>
                <c:pt idx="10">
                  <c:v>-0.66492033739707135</c:v>
                </c:pt>
                <c:pt idx="11">
                  <c:v>-0.62577266997158898</c:v>
                </c:pt>
                <c:pt idx="12">
                  <c:v>-0.59053976928865481</c:v>
                </c:pt>
                <c:pt idx="13">
                  <c:v>-0.68057940436726438</c:v>
                </c:pt>
                <c:pt idx="14">
                  <c:v>-0.85087175766811263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319.74945641085554</c:v>
                  </c:pt>
                  <c:pt idx="1">
                    <c:v>1396.4575864833027</c:v>
                  </c:pt>
                  <c:pt idx="2">
                    <c:v>4307.9598278386602</c:v>
                  </c:pt>
                  <c:pt idx="3">
                    <c:v>1706.9943849557808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319.74945641085554</c:v>
                  </c:pt>
                  <c:pt idx="1">
                    <c:v>1396.4575864833027</c:v>
                  </c:pt>
                  <c:pt idx="2">
                    <c:v>4307.9598278386602</c:v>
                  </c:pt>
                  <c:pt idx="3">
                    <c:v>1706.9943849557808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3018.8790353249665</c:v>
                </c:pt>
                <c:pt idx="1">
                  <c:v>9868.9702580926496</c:v>
                </c:pt>
                <c:pt idx="2">
                  <c:v>14877.100228643903</c:v>
                </c:pt>
                <c:pt idx="3">
                  <c:v>15318.603162155196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584.08925102878356</c:v>
                  </c:pt>
                  <c:pt idx="1">
                    <c:v>915.84388137465248</c:v>
                  </c:pt>
                  <c:pt idx="2">
                    <c:v>1599.5131810037399</c:v>
                  </c:pt>
                  <c:pt idx="3">
                    <c:v>1394.0620519383883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584.08925102878356</c:v>
                  </c:pt>
                  <c:pt idx="1">
                    <c:v>915.84388137465248</c:v>
                  </c:pt>
                  <c:pt idx="2">
                    <c:v>1599.5131810037399</c:v>
                  </c:pt>
                  <c:pt idx="3">
                    <c:v>1394.0620519383883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5580.7894664304768</c:v>
                </c:pt>
                <c:pt idx="1">
                  <c:v>10902.84698194118</c:v>
                </c:pt>
                <c:pt idx="2">
                  <c:v>14383.017750997524</c:v>
                </c:pt>
                <c:pt idx="3">
                  <c:v>23468.177527819014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1346.6382416786655</c:v>
                  </c:pt>
                  <c:pt idx="1">
                    <c:v>2008.0381577377548</c:v>
                  </c:pt>
                  <c:pt idx="2">
                    <c:v>2229.9979343492355</c:v>
                  </c:pt>
                  <c:pt idx="3">
                    <c:v>3817.2148231429528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1346.6382416786655</c:v>
                  </c:pt>
                  <c:pt idx="1">
                    <c:v>2008.0381577377548</c:v>
                  </c:pt>
                  <c:pt idx="2">
                    <c:v>2229.9979343492355</c:v>
                  </c:pt>
                  <c:pt idx="3">
                    <c:v>3817.2148231429528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6552.0747274052201</c:v>
                </c:pt>
                <c:pt idx="1">
                  <c:v>14182.18664149418</c:v>
                </c:pt>
                <c:pt idx="2">
                  <c:v>19222.589196807254</c:v>
                </c:pt>
                <c:pt idx="3">
                  <c:v>26142.454237912338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3171.3625279788407</c:v>
                </c:pt>
                <c:pt idx="1">
                  <c:v>6482.6303901045321</c:v>
                </c:pt>
                <c:pt idx="2">
                  <c:v>8507.5231564077258</c:v>
                </c:pt>
                <c:pt idx="3">
                  <c:v>15721.046863821832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3103.5291708224813</c:v>
                </c:pt>
                <c:pt idx="1">
                  <c:v>14757.28999618343</c:v>
                </c:pt>
                <c:pt idx="2">
                  <c:v>31149.650402912306</c:v>
                </c:pt>
                <c:pt idx="3">
                  <c:v>20860.321876769915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3675.8410429594842</c:v>
                </c:pt>
                <c:pt idx="1">
                  <c:v>10562.425187989393</c:v>
                </c:pt>
                <c:pt idx="2">
                  <c:v>8492.1666910031563</c:v>
                </c:pt>
                <c:pt idx="3">
                  <c:v>5142.6939297712161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3340.9459208697394</c:v>
                </c:pt>
                <c:pt idx="1">
                  <c:v>9382.8334060502093</c:v>
                </c:pt>
                <c:pt idx="2">
                  <c:v>10048.285759193583</c:v>
                </c:pt>
                <c:pt idx="3">
                  <c:v>10359.413543182778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1802.7165139942858</c:v>
                </c:pt>
                <c:pt idx="1">
                  <c:v>8159.6723101356893</c:v>
                </c:pt>
                <c:pt idx="2">
                  <c:v>16187.875133702753</c:v>
                </c:pt>
                <c:pt idx="3">
                  <c:v>15904.388987441784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5576.2760729325946</c:v>
                </c:pt>
                <c:pt idx="1">
                  <c:v>10221.519934425945</c:v>
                </c:pt>
                <c:pt idx="2">
                  <c:v>12998.366243636585</c:v>
                </c:pt>
                <c:pt idx="3">
                  <c:v>25203.469708320641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7185.8074941096984</c:v>
                </c:pt>
                <c:pt idx="1">
                  <c:v>13462.52058450097</c:v>
                </c:pt>
                <c:pt idx="2">
                  <c:v>20440.084543437199</c:v>
                </c:pt>
                <c:pt idx="3">
                  <c:v>27676.605696077124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5142.6939297712161</c:v>
                </c:pt>
                <c:pt idx="1">
                  <c:v>8984.1944652999864</c:v>
                </c:pt>
                <c:pt idx="2">
                  <c:v>14037.30770362232</c:v>
                </c:pt>
                <c:pt idx="3">
                  <c:v>23464.579727352804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6299.5035053527845</c:v>
                </c:pt>
                <c:pt idx="1">
                  <c:v>12666.161607399392</c:v>
                </c:pt>
                <c:pt idx="2">
                  <c:v>13461.402998069909</c:v>
                </c:pt>
                <c:pt idx="3">
                  <c:v>19996.353059798192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3699.6663299860893</c:v>
                </c:pt>
                <c:pt idx="1">
                  <c:v>9179.83831807961</c:v>
                </c:pt>
                <c:pt idx="2">
                  <c:v>10977.927266221615</c:v>
                </c:pt>
                <c:pt idx="3">
                  <c:v>20999.879447546326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2950.204590899009</c:v>
                </c:pt>
                <c:pt idx="1">
                  <c:v>11682.08122355171</c:v>
                </c:pt>
                <c:pt idx="2">
                  <c:v>15372.980778681591</c:v>
                </c:pt>
                <c:pt idx="3">
                  <c:v>28793.09109754243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7842.8324177210761</c:v>
                </c:pt>
                <c:pt idx="1">
                  <c:v>13373.287516794306</c:v>
                </c:pt>
                <c:pt idx="2">
                  <c:v>19003.356819756049</c:v>
                </c:pt>
                <c:pt idx="3">
                  <c:v>18067.705181254314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8488.2344424494258</c:v>
                </c:pt>
                <c:pt idx="1">
                  <c:v>21618.997495099738</c:v>
                </c:pt>
                <c:pt idx="2">
                  <c:v>19927.68358242304</c:v>
                </c:pt>
                <c:pt idx="3">
                  <c:v>37951.546331721867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3755.413196850981</c:v>
                </c:pt>
                <c:pt idx="1">
                  <c:v>9891.8567725171652</c:v>
                </c:pt>
                <c:pt idx="2">
                  <c:v>14642.046139096088</c:v>
                </c:pt>
                <c:pt idx="3">
                  <c:v>17502.189890301757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9723.6889891056089</c:v>
                </c:pt>
                <c:pt idx="1">
                  <c:v>14344.710199507979</c:v>
                </c:pt>
                <c:pt idx="2">
                  <c:v>27166.878664079501</c:v>
                </c:pt>
                <c:pt idx="3">
                  <c:v>28397.738688741327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3171.3625279788407</c:v>
                </c:pt>
                <c:pt idx="1">
                  <c:v>3103.5291708224813</c:v>
                </c:pt>
                <c:pt idx="2">
                  <c:v>3675.8410429594842</c:v>
                </c:pt>
                <c:pt idx="3">
                  <c:v>3340.9459208697394</c:v>
                </c:pt>
                <c:pt idx="4">
                  <c:v>1802.7165139942858</c:v>
                </c:pt>
                <c:pt idx="5">
                  <c:v>5576.2760729325946</c:v>
                </c:pt>
                <c:pt idx="6">
                  <c:v>7185.8074941096984</c:v>
                </c:pt>
                <c:pt idx="7">
                  <c:v>5142.6939297712161</c:v>
                </c:pt>
                <c:pt idx="8">
                  <c:v>6299.5035053527845</c:v>
                </c:pt>
                <c:pt idx="9">
                  <c:v>3699.6663299860893</c:v>
                </c:pt>
                <c:pt idx="10">
                  <c:v>2950.204590899009</c:v>
                </c:pt>
                <c:pt idx="11">
                  <c:v>7842.8324177210761</c:v>
                </c:pt>
                <c:pt idx="12">
                  <c:v>8488.2344424494258</c:v>
                </c:pt>
                <c:pt idx="13">
                  <c:v>3755.413196850981</c:v>
                </c:pt>
                <c:pt idx="14">
                  <c:v>9723.6889891056089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6482.6303901045321</c:v>
                </c:pt>
                <c:pt idx="1">
                  <c:v>14757.28999618343</c:v>
                </c:pt>
                <c:pt idx="2">
                  <c:v>10562.425187989393</c:v>
                </c:pt>
                <c:pt idx="3">
                  <c:v>9382.8334060502093</c:v>
                </c:pt>
                <c:pt idx="4">
                  <c:v>8159.6723101356893</c:v>
                </c:pt>
                <c:pt idx="5">
                  <c:v>10221.519934425945</c:v>
                </c:pt>
                <c:pt idx="6">
                  <c:v>13462.52058450097</c:v>
                </c:pt>
                <c:pt idx="7">
                  <c:v>8984.1944652999864</c:v>
                </c:pt>
                <c:pt idx="8">
                  <c:v>12666.161607399392</c:v>
                </c:pt>
                <c:pt idx="9">
                  <c:v>9179.83831807961</c:v>
                </c:pt>
                <c:pt idx="10">
                  <c:v>11682.08122355171</c:v>
                </c:pt>
                <c:pt idx="11">
                  <c:v>13373.287516794306</c:v>
                </c:pt>
                <c:pt idx="12">
                  <c:v>21618.997495099738</c:v>
                </c:pt>
                <c:pt idx="13">
                  <c:v>9891.8567725171652</c:v>
                </c:pt>
                <c:pt idx="14">
                  <c:v>14344.710199507979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8507.5231564077258</c:v>
                </c:pt>
                <c:pt idx="1">
                  <c:v>31149.650402912306</c:v>
                </c:pt>
                <c:pt idx="2">
                  <c:v>8492.1666910031563</c:v>
                </c:pt>
                <c:pt idx="3">
                  <c:v>10048.285759193583</c:v>
                </c:pt>
                <c:pt idx="4">
                  <c:v>16187.875133702753</c:v>
                </c:pt>
                <c:pt idx="5">
                  <c:v>12998.366243636585</c:v>
                </c:pt>
                <c:pt idx="6">
                  <c:v>20440.084543437199</c:v>
                </c:pt>
                <c:pt idx="7">
                  <c:v>14037.30770362232</c:v>
                </c:pt>
                <c:pt idx="8">
                  <c:v>13461.402998069909</c:v>
                </c:pt>
                <c:pt idx="9">
                  <c:v>10977.927266221615</c:v>
                </c:pt>
                <c:pt idx="10">
                  <c:v>15372.980778681591</c:v>
                </c:pt>
                <c:pt idx="11">
                  <c:v>19003.356819756049</c:v>
                </c:pt>
                <c:pt idx="12">
                  <c:v>19927.68358242304</c:v>
                </c:pt>
                <c:pt idx="13">
                  <c:v>14642.046139096088</c:v>
                </c:pt>
                <c:pt idx="14">
                  <c:v>27166.878664079501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3171.3625279788407</c:v>
                </c:pt>
                <c:pt idx="1">
                  <c:v>3103.5291708224813</c:v>
                </c:pt>
                <c:pt idx="2">
                  <c:v>3675.8410429594842</c:v>
                </c:pt>
                <c:pt idx="3">
                  <c:v>3340.9459208697394</c:v>
                </c:pt>
                <c:pt idx="4">
                  <c:v>1802.7165139942858</c:v>
                </c:pt>
                <c:pt idx="5">
                  <c:v>5576.2760729325946</c:v>
                </c:pt>
                <c:pt idx="6">
                  <c:v>7185.8074941096984</c:v>
                </c:pt>
                <c:pt idx="7">
                  <c:v>5142.6939297712161</c:v>
                </c:pt>
                <c:pt idx="8">
                  <c:v>6299.5035053527845</c:v>
                </c:pt>
                <c:pt idx="9">
                  <c:v>3699.6663299860893</c:v>
                </c:pt>
                <c:pt idx="10">
                  <c:v>2950.204590899009</c:v>
                </c:pt>
                <c:pt idx="11">
                  <c:v>7842.8324177210761</c:v>
                </c:pt>
                <c:pt idx="12">
                  <c:v>8488.2344424494258</c:v>
                </c:pt>
                <c:pt idx="13">
                  <c:v>3755.413196850981</c:v>
                </c:pt>
                <c:pt idx="14">
                  <c:v>9723.6889891056089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6482.6303901045321</c:v>
                </c:pt>
                <c:pt idx="1">
                  <c:v>14757.28999618343</c:v>
                </c:pt>
                <c:pt idx="2">
                  <c:v>10562.425187989393</c:v>
                </c:pt>
                <c:pt idx="3">
                  <c:v>9382.8334060502093</c:v>
                </c:pt>
                <c:pt idx="4">
                  <c:v>8159.6723101356893</c:v>
                </c:pt>
                <c:pt idx="5">
                  <c:v>10221.519934425945</c:v>
                </c:pt>
                <c:pt idx="6">
                  <c:v>13462.52058450097</c:v>
                </c:pt>
                <c:pt idx="7">
                  <c:v>8984.1944652999864</c:v>
                </c:pt>
                <c:pt idx="8">
                  <c:v>12666.161607399392</c:v>
                </c:pt>
                <c:pt idx="9">
                  <c:v>9179.83831807961</c:v>
                </c:pt>
                <c:pt idx="10">
                  <c:v>11682.08122355171</c:v>
                </c:pt>
                <c:pt idx="11">
                  <c:v>13373.287516794306</c:v>
                </c:pt>
                <c:pt idx="12">
                  <c:v>21618.997495099738</c:v>
                </c:pt>
                <c:pt idx="13">
                  <c:v>9891.8567725171652</c:v>
                </c:pt>
                <c:pt idx="14">
                  <c:v>14344.710199507979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8507.5231564077258</c:v>
                </c:pt>
                <c:pt idx="1">
                  <c:v>31149.650402912306</c:v>
                </c:pt>
                <c:pt idx="2">
                  <c:v>8492.1666910031563</c:v>
                </c:pt>
                <c:pt idx="3">
                  <c:v>10048.285759193583</c:v>
                </c:pt>
                <c:pt idx="4">
                  <c:v>16187.875133702753</c:v>
                </c:pt>
                <c:pt idx="5">
                  <c:v>12998.366243636585</c:v>
                </c:pt>
                <c:pt idx="6">
                  <c:v>20440.084543437199</c:v>
                </c:pt>
                <c:pt idx="7">
                  <c:v>14037.30770362232</c:v>
                </c:pt>
                <c:pt idx="8">
                  <c:v>13461.402998069909</c:v>
                </c:pt>
                <c:pt idx="9">
                  <c:v>10977.927266221615</c:v>
                </c:pt>
                <c:pt idx="10">
                  <c:v>15372.980778681591</c:v>
                </c:pt>
                <c:pt idx="11">
                  <c:v>19003.356819756049</c:v>
                </c:pt>
                <c:pt idx="12">
                  <c:v>19927.68358242304</c:v>
                </c:pt>
                <c:pt idx="13">
                  <c:v>14642.046139096088</c:v>
                </c:pt>
                <c:pt idx="14">
                  <c:v>27166.878664079501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3171.3625279788407</c:v>
                </c:pt>
                <c:pt idx="1">
                  <c:v>3103.5291708224813</c:v>
                </c:pt>
                <c:pt idx="2">
                  <c:v>3675.8410429594842</c:v>
                </c:pt>
                <c:pt idx="3">
                  <c:v>3340.9459208697394</c:v>
                </c:pt>
                <c:pt idx="4">
                  <c:v>1802.7165139942858</c:v>
                </c:pt>
                <c:pt idx="5">
                  <c:v>5576.2760729325946</c:v>
                </c:pt>
                <c:pt idx="6">
                  <c:v>7185.8074941096984</c:v>
                </c:pt>
                <c:pt idx="7">
                  <c:v>5142.6939297712161</c:v>
                </c:pt>
                <c:pt idx="8">
                  <c:v>6299.5035053527845</c:v>
                </c:pt>
                <c:pt idx="9">
                  <c:v>3699.6663299860893</c:v>
                </c:pt>
                <c:pt idx="10">
                  <c:v>2950.204590899009</c:v>
                </c:pt>
                <c:pt idx="11">
                  <c:v>7842.8324177210761</c:v>
                </c:pt>
                <c:pt idx="12">
                  <c:v>8488.2344424494258</c:v>
                </c:pt>
                <c:pt idx="13">
                  <c:v>3755.413196850981</c:v>
                </c:pt>
                <c:pt idx="14">
                  <c:v>9723.6889891056089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6482.6303901045321</c:v>
                </c:pt>
                <c:pt idx="1">
                  <c:v>14757.28999618343</c:v>
                </c:pt>
                <c:pt idx="2">
                  <c:v>10562.425187989393</c:v>
                </c:pt>
                <c:pt idx="3">
                  <c:v>9382.8334060502093</c:v>
                </c:pt>
                <c:pt idx="4">
                  <c:v>8159.6723101356893</c:v>
                </c:pt>
                <c:pt idx="5">
                  <c:v>10221.519934425945</c:v>
                </c:pt>
                <c:pt idx="6">
                  <c:v>13462.52058450097</c:v>
                </c:pt>
                <c:pt idx="7">
                  <c:v>8984.1944652999864</c:v>
                </c:pt>
                <c:pt idx="8">
                  <c:v>12666.161607399392</c:v>
                </c:pt>
                <c:pt idx="9">
                  <c:v>9179.83831807961</c:v>
                </c:pt>
                <c:pt idx="10">
                  <c:v>11682.08122355171</c:v>
                </c:pt>
                <c:pt idx="11">
                  <c:v>13373.287516794306</c:v>
                </c:pt>
                <c:pt idx="12">
                  <c:v>21618.997495099738</c:v>
                </c:pt>
                <c:pt idx="13">
                  <c:v>9891.8567725171652</c:v>
                </c:pt>
                <c:pt idx="14">
                  <c:v>14344.710199507979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8507.5231564077258</c:v>
                </c:pt>
                <c:pt idx="1">
                  <c:v>31149.650402912306</c:v>
                </c:pt>
                <c:pt idx="2">
                  <c:v>8492.1666910031563</c:v>
                </c:pt>
                <c:pt idx="3">
                  <c:v>10048.285759193583</c:v>
                </c:pt>
                <c:pt idx="4">
                  <c:v>16187.875133702753</c:v>
                </c:pt>
                <c:pt idx="5">
                  <c:v>12998.366243636585</c:v>
                </c:pt>
                <c:pt idx="6">
                  <c:v>20440.084543437199</c:v>
                </c:pt>
                <c:pt idx="7">
                  <c:v>14037.30770362232</c:v>
                </c:pt>
                <c:pt idx="8">
                  <c:v>13461.402998069909</c:v>
                </c:pt>
                <c:pt idx="9">
                  <c:v>10977.927266221615</c:v>
                </c:pt>
                <c:pt idx="10">
                  <c:v>15372.980778681591</c:v>
                </c:pt>
                <c:pt idx="11">
                  <c:v>19003.356819756049</c:v>
                </c:pt>
                <c:pt idx="12">
                  <c:v>19927.68358242304</c:v>
                </c:pt>
                <c:pt idx="13">
                  <c:v>14642.046139096088</c:v>
                </c:pt>
                <c:pt idx="14">
                  <c:v>27166.878664079501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abSelected="1" zoomScale="90" zoomScaleNormal="90" workbookViewId="0">
      <selection activeCell="Q41" sqref="Q41"/>
    </sheetView>
  </sheetViews>
  <sheetFormatPr defaultRowHeight="16.5" x14ac:dyDescent="0.3"/>
  <cols>
    <col min="1" max="1" width="13.85546875" style="1" customWidth="1"/>
    <col min="2" max="2" width="12.42578125" style="1" bestFit="1" customWidth="1"/>
    <col min="3" max="3" width="14.5703125" style="13" customWidth="1"/>
    <col min="4" max="4" width="11.42578125" style="13" customWidth="1"/>
    <col min="5" max="5" width="8.7109375" style="13"/>
    <col min="6" max="6" width="9.28515625" style="13" customWidth="1"/>
    <col min="7" max="7" width="10.5703125" style="13" customWidth="1"/>
    <col min="8" max="8" width="9" style="13" bestFit="1" customWidth="1"/>
    <col min="9" max="10" width="8.7109375" style="13"/>
    <col min="12" max="12" width="9.5703125" customWidth="1"/>
    <col min="14" max="14" width="9.42578125" customWidth="1"/>
    <col min="16" max="16" width="13.5703125" customWidth="1"/>
    <col min="17" max="17" width="26.28515625" customWidth="1"/>
  </cols>
  <sheetData>
    <row r="2" spans="1:28" x14ac:dyDescent="0.3">
      <c r="A2" s="2" t="s">
        <v>10</v>
      </c>
    </row>
    <row r="3" spans="1:28" x14ac:dyDescent="0.3">
      <c r="A3" s="2" t="s">
        <v>11</v>
      </c>
    </row>
    <row r="4" spans="1:28" x14ac:dyDescent="0.3">
      <c r="A4" s="2" t="s">
        <v>50</v>
      </c>
      <c r="B4" s="3"/>
    </row>
    <row r="5" spans="1:28" ht="17.25" thickBot="1" x14ac:dyDescent="0.35">
      <c r="B5" s="3"/>
    </row>
    <row r="6" spans="1:28" ht="50.25" thickBot="1" x14ac:dyDescent="0.3">
      <c r="A6" s="21" t="s">
        <v>4</v>
      </c>
      <c r="B6" s="22" t="s">
        <v>3</v>
      </c>
      <c r="C6" s="22" t="s">
        <v>1</v>
      </c>
      <c r="D6" s="22" t="s">
        <v>5</v>
      </c>
      <c r="E6" s="22" t="s">
        <v>2</v>
      </c>
      <c r="F6" s="22" t="s">
        <v>35</v>
      </c>
      <c r="G6" s="23" t="s">
        <v>6</v>
      </c>
      <c r="H6" s="23" t="s">
        <v>7</v>
      </c>
      <c r="I6" s="23" t="s">
        <v>8</v>
      </c>
      <c r="J6" s="24" t="s">
        <v>9</v>
      </c>
      <c r="L6" s="72" t="s">
        <v>12</v>
      </c>
    </row>
    <row r="7" spans="1:28" ht="17.25" thickBot="1" x14ac:dyDescent="0.35">
      <c r="A7" s="73">
        <v>44474</v>
      </c>
      <c r="B7" s="17">
        <v>44475</v>
      </c>
      <c r="C7" s="18" t="s">
        <v>18</v>
      </c>
      <c r="D7" s="18" t="s">
        <v>19</v>
      </c>
      <c r="E7" s="18">
        <v>10</v>
      </c>
      <c r="F7" s="18">
        <v>1</v>
      </c>
      <c r="G7" s="18">
        <v>801</v>
      </c>
      <c r="H7" s="18">
        <v>418269</v>
      </c>
      <c r="I7" s="18">
        <f>(G7*$AA$14)+$AA$15</f>
        <v>0.2296038632752011</v>
      </c>
      <c r="J7" s="19">
        <f t="shared" ref="J7:J38" si="0">(H7*$AA$29)+$AA$30</f>
        <v>3171.3625279788407</v>
      </c>
      <c r="L7" s="114" t="s">
        <v>13</v>
      </c>
      <c r="M7" s="115" t="s">
        <v>14</v>
      </c>
      <c r="N7" s="115" t="s">
        <v>0</v>
      </c>
      <c r="O7" s="116" t="s">
        <v>26</v>
      </c>
      <c r="P7" s="117" t="s">
        <v>27</v>
      </c>
    </row>
    <row r="8" spans="1:28" x14ac:dyDescent="0.3">
      <c r="A8" s="78">
        <v>44474</v>
      </c>
      <c r="B8" s="11">
        <v>44475</v>
      </c>
      <c r="C8" s="14" t="s">
        <v>18</v>
      </c>
      <c r="D8" s="14" t="s">
        <v>19</v>
      </c>
      <c r="E8" s="14">
        <v>20</v>
      </c>
      <c r="F8" s="14">
        <v>2</v>
      </c>
      <c r="G8" s="14">
        <v>543</v>
      </c>
      <c r="H8" s="14">
        <v>818257</v>
      </c>
      <c r="I8" s="14">
        <f t="shared" ref="I8:I66" si="1">(G8*$AA$14)+$AA$15</f>
        <v>-0.27540104651352171</v>
      </c>
      <c r="J8" s="15">
        <f t="shared" si="0"/>
        <v>6482.6303901045321</v>
      </c>
      <c r="L8" s="112" t="s">
        <v>28</v>
      </c>
      <c r="M8" s="18">
        <v>7.5</v>
      </c>
      <c r="N8" s="18">
        <v>3641</v>
      </c>
      <c r="O8" s="51">
        <f>AVERAGE(M8:M10)</f>
        <v>7.5</v>
      </c>
      <c r="P8" s="52">
        <f>AVERAGE(N8:N10)</f>
        <v>4368.666666666667</v>
      </c>
    </row>
    <row r="9" spans="1:28" x14ac:dyDescent="0.3">
      <c r="A9" s="78">
        <v>44474</v>
      </c>
      <c r="B9" s="11">
        <v>44475</v>
      </c>
      <c r="C9" s="14" t="s">
        <v>18</v>
      </c>
      <c r="D9" s="14" t="s">
        <v>19</v>
      </c>
      <c r="E9" s="14">
        <v>35</v>
      </c>
      <c r="F9" s="14">
        <v>3</v>
      </c>
      <c r="G9" s="14">
        <v>418</v>
      </c>
      <c r="H9" s="14">
        <v>1062856</v>
      </c>
      <c r="I9" s="14">
        <f t="shared" si="1"/>
        <v>-0.5200739679227866</v>
      </c>
      <c r="J9" s="15">
        <f t="shared" si="0"/>
        <v>8507.5231564077258</v>
      </c>
      <c r="L9" s="113" t="s">
        <v>28</v>
      </c>
      <c r="M9" s="14">
        <v>7.5</v>
      </c>
      <c r="N9" s="14">
        <v>4639</v>
      </c>
      <c r="O9" s="53"/>
      <c r="P9" s="54"/>
      <c r="AB9" s="1"/>
    </row>
    <row r="10" spans="1:28" ht="17.25" thickBot="1" x14ac:dyDescent="0.35">
      <c r="A10" s="78">
        <v>44474</v>
      </c>
      <c r="B10" s="11">
        <v>44475</v>
      </c>
      <c r="C10" s="14" t="s">
        <v>18</v>
      </c>
      <c r="D10" s="14" t="s">
        <v>19</v>
      </c>
      <c r="E10" s="14">
        <v>50</v>
      </c>
      <c r="F10" s="14">
        <v>4</v>
      </c>
      <c r="G10" s="14">
        <v>320</v>
      </c>
      <c r="H10" s="14">
        <v>1934221</v>
      </c>
      <c r="I10" s="14">
        <f t="shared" si="1"/>
        <v>-0.71189753830765024</v>
      </c>
      <c r="J10" s="15">
        <f t="shared" si="0"/>
        <v>15721.046863821832</v>
      </c>
      <c r="L10" s="118" t="s">
        <v>28</v>
      </c>
      <c r="M10" s="61">
        <v>7.5</v>
      </c>
      <c r="N10" s="55">
        <v>4826</v>
      </c>
      <c r="O10" s="55"/>
      <c r="P10" s="56"/>
      <c r="AB10" s="1"/>
    </row>
    <row r="11" spans="1:28" x14ac:dyDescent="0.3">
      <c r="A11" s="79">
        <v>44474</v>
      </c>
      <c r="B11" s="26">
        <v>44475</v>
      </c>
      <c r="C11" s="27" t="s">
        <v>18</v>
      </c>
      <c r="D11" s="27" t="s">
        <v>20</v>
      </c>
      <c r="E11" s="27">
        <v>10</v>
      </c>
      <c r="F11" s="27">
        <v>5</v>
      </c>
      <c r="G11" s="27">
        <v>1057</v>
      </c>
      <c r="H11" s="27">
        <v>410075</v>
      </c>
      <c r="I11" s="27">
        <f t="shared" si="1"/>
        <v>0.7306940063213756</v>
      </c>
      <c r="J11" s="28">
        <f t="shared" si="0"/>
        <v>3103.5291708224813</v>
      </c>
      <c r="L11" s="60" t="s">
        <v>29</v>
      </c>
      <c r="M11" s="18">
        <v>5</v>
      </c>
      <c r="N11" s="18">
        <v>3162</v>
      </c>
      <c r="O11" s="51">
        <f>AVERAGE(M11:M13)</f>
        <v>5</v>
      </c>
      <c r="P11" s="52">
        <f>AVERAGE(N11:N13)</f>
        <v>3345</v>
      </c>
      <c r="AB11" s="1"/>
    </row>
    <row r="12" spans="1:28" x14ac:dyDescent="0.3">
      <c r="A12" s="80">
        <v>44474</v>
      </c>
      <c r="B12" s="29">
        <v>44475</v>
      </c>
      <c r="C12" s="30" t="s">
        <v>18</v>
      </c>
      <c r="D12" s="30" t="s">
        <v>20</v>
      </c>
      <c r="E12" s="30">
        <v>20</v>
      </c>
      <c r="F12" s="30">
        <v>6</v>
      </c>
      <c r="G12" s="30">
        <v>717</v>
      </c>
      <c r="H12" s="30">
        <v>1817803</v>
      </c>
      <c r="I12" s="30">
        <f t="shared" si="1"/>
        <v>6.5183660088174999E-2</v>
      </c>
      <c r="J12" s="31">
        <f t="shared" si="0"/>
        <v>14757.28999618343</v>
      </c>
      <c r="L12" s="8" t="s">
        <v>29</v>
      </c>
      <c r="M12" s="14">
        <v>5</v>
      </c>
      <c r="N12" s="14">
        <v>3374</v>
      </c>
      <c r="O12" s="53"/>
      <c r="P12" s="54"/>
      <c r="AB12" s="1"/>
    </row>
    <row r="13" spans="1:28" ht="17.25" thickBot="1" x14ac:dyDescent="0.35">
      <c r="A13" s="80">
        <v>44474</v>
      </c>
      <c r="B13" s="29">
        <v>44475</v>
      </c>
      <c r="C13" s="30" t="s">
        <v>18</v>
      </c>
      <c r="D13" s="30" t="s">
        <v>20</v>
      </c>
      <c r="E13" s="30">
        <v>35</v>
      </c>
      <c r="F13" s="30">
        <v>7</v>
      </c>
      <c r="G13" s="30">
        <v>565</v>
      </c>
      <c r="H13" s="30">
        <v>3797935</v>
      </c>
      <c r="I13" s="30">
        <f t="shared" si="1"/>
        <v>-0.23233861234549114</v>
      </c>
      <c r="J13" s="31">
        <f t="shared" si="0"/>
        <v>31149.650402912306</v>
      </c>
      <c r="L13" s="10" t="s">
        <v>29</v>
      </c>
      <c r="M13" s="61">
        <v>5</v>
      </c>
      <c r="N13" s="61">
        <v>3499</v>
      </c>
      <c r="O13" s="55"/>
      <c r="P13" s="56"/>
      <c r="AB13" s="1"/>
    </row>
    <row r="14" spans="1:28" ht="17.25" thickBot="1" x14ac:dyDescent="0.35">
      <c r="A14" s="80">
        <v>44474</v>
      </c>
      <c r="B14" s="29">
        <v>44475</v>
      </c>
      <c r="C14" s="30" t="s">
        <v>18</v>
      </c>
      <c r="D14" s="30" t="s">
        <v>20</v>
      </c>
      <c r="E14" s="30">
        <v>50</v>
      </c>
      <c r="F14" s="30">
        <v>8</v>
      </c>
      <c r="G14" s="30">
        <v>502</v>
      </c>
      <c r="H14" s="30">
        <v>2555025</v>
      </c>
      <c r="I14" s="30">
        <f t="shared" si="1"/>
        <v>-0.3556537647357606</v>
      </c>
      <c r="J14" s="31">
        <f t="shared" si="0"/>
        <v>20860.321876769915</v>
      </c>
      <c r="L14" s="60" t="s">
        <v>30</v>
      </c>
      <c r="M14" s="18">
        <v>3</v>
      </c>
      <c r="N14" s="18">
        <v>2227</v>
      </c>
      <c r="O14" s="51">
        <f>AVERAGE(M14:M16)</f>
        <v>3</v>
      </c>
      <c r="P14" s="52">
        <f>AVERAGE(N14:N16)</f>
        <v>2340.3333333333335</v>
      </c>
      <c r="Z14" s="2" t="s">
        <v>15</v>
      </c>
      <c r="AA14" s="1">
        <f>SLOPE(O8:O22,P8:P22)</f>
        <v>1.9573833712741191E-3</v>
      </c>
      <c r="AB14" s="1"/>
    </row>
    <row r="15" spans="1:28" x14ac:dyDescent="0.3">
      <c r="A15" s="73">
        <v>44474</v>
      </c>
      <c r="B15" s="17">
        <v>44475</v>
      </c>
      <c r="C15" s="18" t="s">
        <v>18</v>
      </c>
      <c r="D15" s="18" t="s">
        <v>21</v>
      </c>
      <c r="E15" s="18">
        <v>10</v>
      </c>
      <c r="F15" s="18">
        <v>9</v>
      </c>
      <c r="G15" s="18">
        <v>936</v>
      </c>
      <c r="H15" s="18">
        <v>479208</v>
      </c>
      <c r="I15" s="18">
        <f t="shared" si="1"/>
        <v>0.49385061839720712</v>
      </c>
      <c r="J15" s="19">
        <f t="shared" si="0"/>
        <v>3675.8410429594842</v>
      </c>
      <c r="L15" s="8" t="s">
        <v>30</v>
      </c>
      <c r="M15" s="14">
        <v>3</v>
      </c>
      <c r="N15" s="14">
        <v>2428</v>
      </c>
      <c r="O15" s="53"/>
      <c r="P15" s="54"/>
      <c r="Z15" s="2" t="s">
        <v>16</v>
      </c>
      <c r="AA15" s="1">
        <f>INTERCEPT(O8:O22,P8:P22)</f>
        <v>-1.3382602171153684</v>
      </c>
      <c r="AB15" s="1"/>
    </row>
    <row r="16" spans="1:28" ht="17.25" thickBot="1" x14ac:dyDescent="0.35">
      <c r="A16" s="78">
        <v>44474</v>
      </c>
      <c r="B16" s="11">
        <v>44475</v>
      </c>
      <c r="C16" s="14" t="s">
        <v>18</v>
      </c>
      <c r="D16" s="14" t="s">
        <v>21</v>
      </c>
      <c r="E16" s="14">
        <v>20</v>
      </c>
      <c r="F16" s="14">
        <v>10</v>
      </c>
      <c r="G16" s="14">
        <v>574</v>
      </c>
      <c r="H16" s="14">
        <v>1311080</v>
      </c>
      <c r="I16" s="14">
        <f t="shared" si="1"/>
        <v>-0.21472216200402405</v>
      </c>
      <c r="J16" s="15">
        <f t="shared" si="0"/>
        <v>10562.425187989393</v>
      </c>
      <c r="L16" s="10" t="s">
        <v>30</v>
      </c>
      <c r="M16" s="61">
        <v>3</v>
      </c>
      <c r="N16" s="61">
        <v>2366</v>
      </c>
      <c r="O16" s="55"/>
      <c r="P16" s="56"/>
      <c r="Z16" s="2" t="s">
        <v>17</v>
      </c>
      <c r="AA16" s="1">
        <f>RSQ(O8:O22,P8:P22)</f>
        <v>0.99018742924612979</v>
      </c>
      <c r="AB16" s="1"/>
    </row>
    <row r="17" spans="1:28" x14ac:dyDescent="0.3">
      <c r="A17" s="78">
        <v>44474</v>
      </c>
      <c r="B17" s="11">
        <v>44475</v>
      </c>
      <c r="C17" s="14" t="s">
        <v>18</v>
      </c>
      <c r="D17" s="14" t="s">
        <v>21</v>
      </c>
      <c r="E17" s="14">
        <v>35</v>
      </c>
      <c r="F17" s="14">
        <v>11</v>
      </c>
      <c r="G17" s="14">
        <v>570</v>
      </c>
      <c r="H17" s="14">
        <v>1061001</v>
      </c>
      <c r="I17" s="14">
        <f t="shared" si="1"/>
        <v>-0.22255169548912046</v>
      </c>
      <c r="J17" s="15">
        <f t="shared" si="0"/>
        <v>8492.1666910031563</v>
      </c>
      <c r="L17" s="60" t="s">
        <v>31</v>
      </c>
      <c r="M17" s="18">
        <v>1.5</v>
      </c>
      <c r="N17" s="18">
        <v>1457</v>
      </c>
      <c r="O17" s="51">
        <f>AVERAGE(M17:M19)</f>
        <v>1.5</v>
      </c>
      <c r="P17" s="52">
        <f>AVERAGE(N17:N19)</f>
        <v>1528</v>
      </c>
      <c r="Z17" s="1"/>
      <c r="AA17" s="1"/>
      <c r="AB17" s="1"/>
    </row>
    <row r="18" spans="1:28" ht="17.25" thickBot="1" x14ac:dyDescent="0.35">
      <c r="A18" s="81">
        <v>44474</v>
      </c>
      <c r="B18" s="32">
        <v>44475</v>
      </c>
      <c r="C18" s="33" t="s">
        <v>18</v>
      </c>
      <c r="D18" s="33" t="s">
        <v>21</v>
      </c>
      <c r="E18" s="33">
        <v>50</v>
      </c>
      <c r="F18" s="33">
        <v>12</v>
      </c>
      <c r="G18" s="33">
        <v>450</v>
      </c>
      <c r="H18" s="33">
        <v>1695866</v>
      </c>
      <c r="I18" s="33">
        <f t="shared" si="1"/>
        <v>-0.45743770004201478</v>
      </c>
      <c r="J18" s="34">
        <f t="shared" si="0"/>
        <v>13747.844539559681</v>
      </c>
      <c r="L18" s="8" t="s">
        <v>31</v>
      </c>
      <c r="M18" s="14">
        <v>1.5</v>
      </c>
      <c r="N18" s="14">
        <v>1547</v>
      </c>
      <c r="O18" s="53"/>
      <c r="P18" s="54"/>
      <c r="Z18" s="1"/>
      <c r="AA18" s="1"/>
      <c r="AB18" s="1"/>
    </row>
    <row r="19" spans="1:28" ht="17.25" thickBot="1" x14ac:dyDescent="0.35">
      <c r="A19" s="73">
        <v>44474</v>
      </c>
      <c r="B19" s="17">
        <v>44475</v>
      </c>
      <c r="C19" s="18" t="s">
        <v>18</v>
      </c>
      <c r="D19" s="18" t="s">
        <v>22</v>
      </c>
      <c r="E19" s="18">
        <v>10</v>
      </c>
      <c r="F19" s="18">
        <v>13</v>
      </c>
      <c r="G19" s="18">
        <v>763</v>
      </c>
      <c r="H19" s="18">
        <v>438754</v>
      </c>
      <c r="I19" s="18">
        <f t="shared" si="1"/>
        <v>0.15522329516678446</v>
      </c>
      <c r="J19" s="19">
        <f t="shared" si="0"/>
        <v>3340.9459208697394</v>
      </c>
      <c r="L19" s="10" t="s">
        <v>31</v>
      </c>
      <c r="M19" s="61">
        <v>1.5</v>
      </c>
      <c r="N19" s="61">
        <v>1580</v>
      </c>
      <c r="O19" s="55"/>
      <c r="P19" s="56"/>
      <c r="Z19" s="1"/>
      <c r="AA19" s="1"/>
      <c r="AB19" s="1"/>
    </row>
    <row r="20" spans="1:28" x14ac:dyDescent="0.3">
      <c r="A20" s="78">
        <v>44474</v>
      </c>
      <c r="B20" s="11">
        <v>44475</v>
      </c>
      <c r="C20" s="14" t="s">
        <v>18</v>
      </c>
      <c r="D20" s="14" t="s">
        <v>22</v>
      </c>
      <c r="E20" s="14">
        <v>20</v>
      </c>
      <c r="F20" s="14">
        <v>14</v>
      </c>
      <c r="G20" s="14">
        <v>508</v>
      </c>
      <c r="H20" s="14">
        <v>1168590</v>
      </c>
      <c r="I20" s="14">
        <f t="shared" si="1"/>
        <v>-0.34390946450811588</v>
      </c>
      <c r="J20" s="15">
        <f t="shared" si="0"/>
        <v>9382.8334060502093</v>
      </c>
      <c r="L20" s="6" t="s">
        <v>32</v>
      </c>
      <c r="M20" s="57">
        <v>0.5</v>
      </c>
      <c r="N20" s="57">
        <v>732</v>
      </c>
      <c r="O20" s="58">
        <f>AVERAGE(M20:M22)</f>
        <v>0.5</v>
      </c>
      <c r="P20" s="59">
        <f>AVERAGE(N20:N22)</f>
        <v>777</v>
      </c>
      <c r="Z20" s="1"/>
      <c r="AA20" s="1"/>
      <c r="AB20" s="1"/>
    </row>
    <row r="21" spans="1:28" x14ac:dyDescent="0.3">
      <c r="A21" s="78">
        <v>44474</v>
      </c>
      <c r="B21" s="11">
        <v>44475</v>
      </c>
      <c r="C21" s="14" t="s">
        <v>18</v>
      </c>
      <c r="D21" s="14" t="s">
        <v>22</v>
      </c>
      <c r="E21" s="14">
        <v>35</v>
      </c>
      <c r="F21" s="14">
        <v>15</v>
      </c>
      <c r="G21" s="14">
        <v>522</v>
      </c>
      <c r="H21" s="14">
        <v>1248974</v>
      </c>
      <c r="I21" s="14">
        <f t="shared" si="1"/>
        <v>-0.31650609731027823</v>
      </c>
      <c r="J21" s="15">
        <f t="shared" si="0"/>
        <v>10048.285759193583</v>
      </c>
      <c r="L21" s="8" t="s">
        <v>32</v>
      </c>
      <c r="M21" s="14">
        <v>0.5</v>
      </c>
      <c r="N21" s="14">
        <v>778</v>
      </c>
      <c r="O21" s="53"/>
      <c r="P21" s="54"/>
      <c r="Z21" s="1"/>
      <c r="AA21" s="1"/>
      <c r="AB21" s="1"/>
    </row>
    <row r="22" spans="1:28" ht="17.25" thickBot="1" x14ac:dyDescent="0.35">
      <c r="A22" s="78">
        <v>44474</v>
      </c>
      <c r="B22" s="11">
        <v>44475</v>
      </c>
      <c r="C22" s="14" t="s">
        <v>18</v>
      </c>
      <c r="D22" s="14" t="s">
        <v>22</v>
      </c>
      <c r="E22" s="14">
        <v>50</v>
      </c>
      <c r="F22" s="14">
        <v>16</v>
      </c>
      <c r="G22" s="14">
        <v>473</v>
      </c>
      <c r="H22" s="14">
        <v>1286557</v>
      </c>
      <c r="I22" s="14">
        <f t="shared" si="1"/>
        <v>-0.41241788250271005</v>
      </c>
      <c r="J22" s="15">
        <f t="shared" si="0"/>
        <v>10359.413543182778</v>
      </c>
      <c r="L22" s="10" t="s">
        <v>32</v>
      </c>
      <c r="M22" s="61">
        <v>0.5</v>
      </c>
      <c r="N22" s="61">
        <v>821</v>
      </c>
      <c r="O22" s="55"/>
      <c r="P22" s="56"/>
      <c r="Z22" s="1"/>
      <c r="AA22" s="1"/>
      <c r="AB22" s="1"/>
    </row>
    <row r="23" spans="1:28" x14ac:dyDescent="0.3">
      <c r="A23" s="79">
        <v>44474</v>
      </c>
      <c r="B23" s="26">
        <v>44475</v>
      </c>
      <c r="C23" s="27" t="s">
        <v>18</v>
      </c>
      <c r="D23" s="27" t="s">
        <v>23</v>
      </c>
      <c r="E23" s="27">
        <v>10</v>
      </c>
      <c r="F23" s="27">
        <v>17</v>
      </c>
      <c r="G23" s="27">
        <v>888</v>
      </c>
      <c r="H23" s="27">
        <v>252942</v>
      </c>
      <c r="I23" s="27">
        <f t="shared" si="1"/>
        <v>0.39989621657604935</v>
      </c>
      <c r="J23" s="28">
        <f t="shared" si="0"/>
        <v>1802.7165139942858</v>
      </c>
      <c r="N23" s="1"/>
      <c r="O23" s="1"/>
      <c r="P23" s="1"/>
      <c r="Z23" s="1"/>
      <c r="AA23" s="1"/>
      <c r="AB23" s="1"/>
    </row>
    <row r="24" spans="1:28" ht="17.25" thickBot="1" x14ac:dyDescent="0.35">
      <c r="A24" s="80">
        <v>44474</v>
      </c>
      <c r="B24" s="29">
        <v>44475</v>
      </c>
      <c r="C24" s="30" t="s">
        <v>18</v>
      </c>
      <c r="D24" s="30" t="s">
        <v>23</v>
      </c>
      <c r="E24" s="30">
        <v>20</v>
      </c>
      <c r="F24" s="30">
        <v>18</v>
      </c>
      <c r="G24" s="30">
        <v>384</v>
      </c>
      <c r="H24" s="30">
        <v>1020837</v>
      </c>
      <c r="I24" s="30">
        <f t="shared" si="1"/>
        <v>-0.58662500254610661</v>
      </c>
      <c r="J24" s="31">
        <f t="shared" si="0"/>
        <v>8159.6723101356893</v>
      </c>
      <c r="L24" s="45" t="s">
        <v>33</v>
      </c>
      <c r="N24" s="62"/>
      <c r="O24" s="62"/>
      <c r="P24" s="1"/>
      <c r="Z24" s="1"/>
      <c r="AA24" s="1"/>
      <c r="AB24" s="1"/>
    </row>
    <row r="25" spans="1:28" ht="17.25" thickBot="1" x14ac:dyDescent="0.35">
      <c r="A25" s="80">
        <v>44474</v>
      </c>
      <c r="B25" s="29">
        <v>44475</v>
      </c>
      <c r="C25" s="30" t="s">
        <v>18</v>
      </c>
      <c r="D25" s="30" t="s">
        <v>23</v>
      </c>
      <c r="E25" s="30">
        <v>35</v>
      </c>
      <c r="F25" s="30">
        <v>19</v>
      </c>
      <c r="G25" s="30">
        <v>336</v>
      </c>
      <c r="H25" s="30">
        <v>1990612</v>
      </c>
      <c r="I25" s="30">
        <f t="shared" si="1"/>
        <v>-0.68057940436726438</v>
      </c>
      <c r="J25" s="31">
        <f t="shared" si="0"/>
        <v>16187.875133702753</v>
      </c>
      <c r="L25" s="46" t="s">
        <v>13</v>
      </c>
      <c r="M25" s="47" t="s">
        <v>14</v>
      </c>
      <c r="N25" s="47" t="s">
        <v>0</v>
      </c>
      <c r="O25" s="48" t="s">
        <v>26</v>
      </c>
      <c r="P25" s="49" t="s">
        <v>27</v>
      </c>
      <c r="Z25" s="1"/>
      <c r="AA25" s="1"/>
      <c r="AB25" s="1"/>
    </row>
    <row r="26" spans="1:28" ht="17.25" thickBot="1" x14ac:dyDescent="0.35">
      <c r="A26" s="82">
        <v>44474</v>
      </c>
      <c r="B26" s="36">
        <v>44475</v>
      </c>
      <c r="C26" s="37" t="s">
        <v>18</v>
      </c>
      <c r="D26" s="37" t="s">
        <v>23</v>
      </c>
      <c r="E26" s="37">
        <v>50</v>
      </c>
      <c r="F26" s="37">
        <v>20</v>
      </c>
      <c r="G26" s="38">
        <v>411</v>
      </c>
      <c r="H26" s="38">
        <v>1956368</v>
      </c>
      <c r="I26" s="37">
        <f t="shared" si="1"/>
        <v>-0.53377565152170536</v>
      </c>
      <c r="J26" s="39">
        <f t="shared" si="0"/>
        <v>15904.388987441784</v>
      </c>
      <c r="L26" s="112" t="s">
        <v>28</v>
      </c>
      <c r="M26" s="50">
        <v>1375</v>
      </c>
      <c r="N26" s="50"/>
      <c r="O26" s="63">
        <f>AVERAGE(M26:M28)</f>
        <v>1375</v>
      </c>
      <c r="P26" s="64">
        <f>AVERAGE(N26:N28)</f>
        <v>227126.5</v>
      </c>
      <c r="Q26" t="s">
        <v>48</v>
      </c>
      <c r="Z26" s="1"/>
      <c r="AA26" s="1"/>
      <c r="AB26" s="1"/>
    </row>
    <row r="27" spans="1:28" x14ac:dyDescent="0.3">
      <c r="A27" s="73">
        <v>44474</v>
      </c>
      <c r="B27" s="25">
        <v>44475</v>
      </c>
      <c r="C27" s="20" t="s">
        <v>24</v>
      </c>
      <c r="D27" s="18" t="s">
        <v>19</v>
      </c>
      <c r="E27" s="18">
        <v>10</v>
      </c>
      <c r="F27" s="18">
        <v>21</v>
      </c>
      <c r="G27" s="20">
        <v>737</v>
      </c>
      <c r="H27" s="20">
        <v>708773</v>
      </c>
      <c r="I27" s="18">
        <f t="shared" si="1"/>
        <v>0.10433132751365748</v>
      </c>
      <c r="J27" s="19">
        <f t="shared" si="0"/>
        <v>5576.2760729325946</v>
      </c>
      <c r="L27" s="113" t="s">
        <v>28</v>
      </c>
      <c r="M27" s="65">
        <v>1375</v>
      </c>
      <c r="N27" s="65">
        <v>220413</v>
      </c>
      <c r="O27" s="66"/>
      <c r="P27" s="67"/>
      <c r="Z27" s="1"/>
      <c r="AA27" s="1"/>
      <c r="AB27" s="1"/>
    </row>
    <row r="28" spans="1:28" ht="17.25" thickBot="1" x14ac:dyDescent="0.35">
      <c r="A28" s="78">
        <v>44474</v>
      </c>
      <c r="B28" s="12">
        <v>44475</v>
      </c>
      <c r="C28" s="16" t="s">
        <v>24</v>
      </c>
      <c r="D28" s="14" t="s">
        <v>19</v>
      </c>
      <c r="E28" s="14">
        <v>20</v>
      </c>
      <c r="F28" s="14">
        <v>22</v>
      </c>
      <c r="G28" s="16">
        <v>422</v>
      </c>
      <c r="H28" s="16">
        <v>1269900</v>
      </c>
      <c r="I28" s="14">
        <f t="shared" si="1"/>
        <v>-0.51224443443769008</v>
      </c>
      <c r="J28" s="15">
        <f t="shared" si="0"/>
        <v>10221.519934425945</v>
      </c>
      <c r="L28" s="118" t="s">
        <v>28</v>
      </c>
      <c r="M28" s="68">
        <v>1375</v>
      </c>
      <c r="N28" s="68">
        <v>233840</v>
      </c>
      <c r="O28" s="69"/>
      <c r="P28" s="70"/>
      <c r="Z28" s="1"/>
      <c r="AA28" s="1"/>
      <c r="AB28" s="1"/>
    </row>
    <row r="29" spans="1:28" x14ac:dyDescent="0.3">
      <c r="A29" s="78">
        <v>44474</v>
      </c>
      <c r="B29" s="12">
        <v>44475</v>
      </c>
      <c r="C29" s="16" t="s">
        <v>24</v>
      </c>
      <c r="D29" s="14" t="s">
        <v>19</v>
      </c>
      <c r="E29" s="14">
        <v>35</v>
      </c>
      <c r="F29" s="14">
        <v>23</v>
      </c>
      <c r="G29" s="16">
        <v>448</v>
      </c>
      <c r="H29" s="16">
        <v>1605332</v>
      </c>
      <c r="I29" s="14">
        <f t="shared" si="1"/>
        <v>-0.46135246678456299</v>
      </c>
      <c r="J29" s="15">
        <f t="shared" si="0"/>
        <v>12998.366243636585</v>
      </c>
      <c r="L29" s="60" t="s">
        <v>29</v>
      </c>
      <c r="M29" s="50">
        <v>916.7</v>
      </c>
      <c r="N29" s="50">
        <v>160124</v>
      </c>
      <c r="O29" s="63">
        <f>AVERAGE(M29:M31)</f>
        <v>916.70000000000016</v>
      </c>
      <c r="P29" s="64">
        <f>AVERAGE(N29:N31)</f>
        <v>162710.66666666666</v>
      </c>
      <c r="Z29" s="2" t="s">
        <v>15</v>
      </c>
      <c r="AA29" s="1">
        <f>SLOPE(O26:O43,P26:P43)</f>
        <v>8.2784180078544645E-3</v>
      </c>
      <c r="AB29" s="1"/>
    </row>
    <row r="30" spans="1:28" ht="17.25" thickBot="1" x14ac:dyDescent="0.35">
      <c r="A30" s="81">
        <v>44474</v>
      </c>
      <c r="B30" s="40">
        <v>44475</v>
      </c>
      <c r="C30" s="41" t="s">
        <v>24</v>
      </c>
      <c r="D30" s="33" t="s">
        <v>19</v>
      </c>
      <c r="E30" s="33">
        <v>50</v>
      </c>
      <c r="F30" s="33">
        <v>24</v>
      </c>
      <c r="G30" s="41">
        <v>316</v>
      </c>
      <c r="H30" s="41">
        <v>3079660</v>
      </c>
      <c r="I30" s="33">
        <f t="shared" si="1"/>
        <v>-0.71972707179274675</v>
      </c>
      <c r="J30" s="34">
        <f t="shared" si="0"/>
        <v>25203.469708320641</v>
      </c>
      <c r="L30" s="8" t="s">
        <v>29</v>
      </c>
      <c r="M30" s="65">
        <v>916.7</v>
      </c>
      <c r="N30" s="65">
        <v>160856</v>
      </c>
      <c r="O30" s="66"/>
      <c r="P30" s="67"/>
      <c r="Z30" s="2" t="s">
        <v>16</v>
      </c>
      <c r="AA30" s="1">
        <f>INTERCEPT(O26:O43,P26:P43)</f>
        <v>-291.24309374843824</v>
      </c>
      <c r="AB30" s="1"/>
    </row>
    <row r="31" spans="1:28" ht="17.25" thickBot="1" x14ac:dyDescent="0.35">
      <c r="A31" s="73">
        <v>44474</v>
      </c>
      <c r="B31" s="17">
        <v>44475</v>
      </c>
      <c r="C31" s="20" t="s">
        <v>24</v>
      </c>
      <c r="D31" s="18" t="s">
        <v>20</v>
      </c>
      <c r="E31" s="18">
        <v>10</v>
      </c>
      <c r="F31" s="18">
        <v>25</v>
      </c>
      <c r="G31" s="18">
        <v>734</v>
      </c>
      <c r="H31" s="18">
        <v>903198</v>
      </c>
      <c r="I31" s="18">
        <f t="shared" si="1"/>
        <v>9.8459177399835118E-2</v>
      </c>
      <c r="J31" s="19">
        <f t="shared" si="0"/>
        <v>7185.8074941096984</v>
      </c>
      <c r="L31" s="10" t="s">
        <v>29</v>
      </c>
      <c r="M31" s="68">
        <v>916.7</v>
      </c>
      <c r="N31" s="68">
        <v>167152</v>
      </c>
      <c r="O31" s="69"/>
      <c r="P31" s="70"/>
      <c r="Z31" s="1" t="s">
        <v>47</v>
      </c>
      <c r="AA31" s="1">
        <f>RSQ(O26:O43,P26:P43)</f>
        <v>0.99748278748759711</v>
      </c>
    </row>
    <row r="32" spans="1:28" x14ac:dyDescent="0.3">
      <c r="A32" s="78">
        <v>44474</v>
      </c>
      <c r="B32" s="11">
        <v>44475</v>
      </c>
      <c r="C32" s="16" t="s">
        <v>24</v>
      </c>
      <c r="D32" s="14" t="s">
        <v>20</v>
      </c>
      <c r="E32" s="14">
        <v>20</v>
      </c>
      <c r="F32" s="14">
        <v>26</v>
      </c>
      <c r="G32" s="14">
        <v>448</v>
      </c>
      <c r="H32" s="14">
        <v>1661400</v>
      </c>
      <c r="I32" s="14">
        <f t="shared" si="1"/>
        <v>-0.46135246678456299</v>
      </c>
      <c r="J32" s="15">
        <f t="shared" si="0"/>
        <v>13462.52058450097</v>
      </c>
      <c r="L32" s="60" t="s">
        <v>30</v>
      </c>
      <c r="M32" s="50">
        <v>550</v>
      </c>
      <c r="N32" s="50">
        <v>107239</v>
      </c>
      <c r="O32" s="63">
        <f>AVERAGE(M32:M34)</f>
        <v>550</v>
      </c>
      <c r="P32" s="64">
        <f>AVERAGE(N32:N34)</f>
        <v>109072.33333333333</v>
      </c>
      <c r="Z32" s="1"/>
      <c r="AA32" s="1"/>
    </row>
    <row r="33" spans="1:27" x14ac:dyDescent="0.3">
      <c r="A33" s="78">
        <v>44474</v>
      </c>
      <c r="B33" s="11">
        <v>44475</v>
      </c>
      <c r="C33" s="16" t="s">
        <v>24</v>
      </c>
      <c r="D33" s="14" t="s">
        <v>20</v>
      </c>
      <c r="E33" s="14">
        <v>35</v>
      </c>
      <c r="F33" s="14">
        <v>27</v>
      </c>
      <c r="G33" s="14">
        <v>363</v>
      </c>
      <c r="H33" s="14">
        <v>2504262</v>
      </c>
      <c r="I33" s="14">
        <f t="shared" si="1"/>
        <v>-0.62773005334286314</v>
      </c>
      <c r="J33" s="15">
        <f t="shared" si="0"/>
        <v>20440.084543437199</v>
      </c>
      <c r="L33" s="8" t="s">
        <v>30</v>
      </c>
      <c r="M33" s="65">
        <v>550</v>
      </c>
      <c r="N33" s="65">
        <v>109887</v>
      </c>
      <c r="O33" s="66"/>
      <c r="P33" s="67"/>
      <c r="Z33" s="1"/>
      <c r="AA33" s="1"/>
    </row>
    <row r="34" spans="1:27" ht="17.25" thickBot="1" x14ac:dyDescent="0.35">
      <c r="A34" s="78">
        <v>44474</v>
      </c>
      <c r="B34" s="11">
        <v>44475</v>
      </c>
      <c r="C34" s="16" t="s">
        <v>24</v>
      </c>
      <c r="D34" s="14" t="s">
        <v>20</v>
      </c>
      <c r="E34" s="14">
        <v>50</v>
      </c>
      <c r="F34" s="14">
        <v>28</v>
      </c>
      <c r="G34" s="14">
        <v>290</v>
      </c>
      <c r="H34" s="14">
        <v>3378405</v>
      </c>
      <c r="I34" s="14">
        <f t="shared" si="1"/>
        <v>-0.77061903944587384</v>
      </c>
      <c r="J34" s="15">
        <f t="shared" si="0"/>
        <v>27676.605696077124</v>
      </c>
      <c r="L34" s="10" t="s">
        <v>30</v>
      </c>
      <c r="M34" s="68">
        <v>550</v>
      </c>
      <c r="N34" s="68">
        <v>110091</v>
      </c>
      <c r="O34" s="69"/>
      <c r="P34" s="70"/>
      <c r="Z34" s="1"/>
      <c r="AA34" s="1"/>
    </row>
    <row r="35" spans="1:27" x14ac:dyDescent="0.3">
      <c r="A35" s="79">
        <v>44474</v>
      </c>
      <c r="B35" s="26">
        <v>44475</v>
      </c>
      <c r="C35" s="42" t="s">
        <v>24</v>
      </c>
      <c r="D35" s="27" t="s">
        <v>21</v>
      </c>
      <c r="E35" s="27">
        <v>10</v>
      </c>
      <c r="F35" s="27">
        <v>29</v>
      </c>
      <c r="G35" s="27">
        <v>940</v>
      </c>
      <c r="H35" s="27">
        <v>656398</v>
      </c>
      <c r="I35" s="27">
        <f t="shared" si="1"/>
        <v>0.50168015188230353</v>
      </c>
      <c r="J35" s="28">
        <f t="shared" si="0"/>
        <v>5142.6939297712161</v>
      </c>
      <c r="L35" s="60" t="s">
        <v>31</v>
      </c>
      <c r="M35" s="50">
        <v>275</v>
      </c>
      <c r="N35" s="50">
        <v>67223</v>
      </c>
      <c r="O35" s="63">
        <f>AVERAGE(M35:M37)</f>
        <v>275</v>
      </c>
      <c r="P35" s="64">
        <f>AVERAGE(N35:N37)</f>
        <v>67730</v>
      </c>
      <c r="Z35" s="1"/>
      <c r="AA35" s="1"/>
    </row>
    <row r="36" spans="1:27" x14ac:dyDescent="0.3">
      <c r="A36" s="80">
        <v>44474</v>
      </c>
      <c r="B36" s="29">
        <v>44475</v>
      </c>
      <c r="C36" s="35" t="s">
        <v>24</v>
      </c>
      <c r="D36" s="30" t="s">
        <v>21</v>
      </c>
      <c r="E36" s="30">
        <v>20</v>
      </c>
      <c r="F36" s="30">
        <v>30</v>
      </c>
      <c r="G36" s="30">
        <v>488</v>
      </c>
      <c r="H36" s="30">
        <v>1120436</v>
      </c>
      <c r="I36" s="30">
        <f t="shared" si="1"/>
        <v>-0.38305713193359825</v>
      </c>
      <c r="J36" s="31">
        <f t="shared" si="0"/>
        <v>8984.1944652999864</v>
      </c>
      <c r="L36" s="8" t="s">
        <v>31</v>
      </c>
      <c r="M36" s="65">
        <v>275</v>
      </c>
      <c r="N36" s="65">
        <v>67338</v>
      </c>
      <c r="O36" s="66"/>
      <c r="P36" s="67"/>
    </row>
    <row r="37" spans="1:27" ht="17.25" thickBot="1" x14ac:dyDescent="0.35">
      <c r="A37" s="80">
        <v>44474</v>
      </c>
      <c r="B37" s="29">
        <v>44475</v>
      </c>
      <c r="C37" s="35" t="s">
        <v>24</v>
      </c>
      <c r="D37" s="30" t="s">
        <v>21</v>
      </c>
      <c r="E37" s="30">
        <v>35</v>
      </c>
      <c r="F37" s="30">
        <v>31</v>
      </c>
      <c r="G37" s="30">
        <v>377</v>
      </c>
      <c r="H37" s="30">
        <v>1730832</v>
      </c>
      <c r="I37" s="30">
        <f t="shared" si="1"/>
        <v>-0.60032668614502549</v>
      </c>
      <c r="J37" s="31">
        <f t="shared" si="0"/>
        <v>14037.30770362232</v>
      </c>
      <c r="L37" s="10" t="s">
        <v>31</v>
      </c>
      <c r="M37" s="68">
        <v>275</v>
      </c>
      <c r="N37" s="68">
        <v>68629</v>
      </c>
      <c r="O37" s="69"/>
      <c r="P37" s="70"/>
    </row>
    <row r="38" spans="1:27" ht="17.25" thickBot="1" x14ac:dyDescent="0.35">
      <c r="A38" s="82">
        <v>44474</v>
      </c>
      <c r="B38" s="43">
        <v>44475</v>
      </c>
      <c r="C38" s="38" t="s">
        <v>24</v>
      </c>
      <c r="D38" s="37" t="s">
        <v>21</v>
      </c>
      <c r="E38" s="37">
        <v>50</v>
      </c>
      <c r="F38" s="37">
        <v>32</v>
      </c>
      <c r="G38" s="37">
        <v>297</v>
      </c>
      <c r="H38" s="37">
        <v>2869609</v>
      </c>
      <c r="I38" s="37">
        <f t="shared" si="1"/>
        <v>-0.75691735584695496</v>
      </c>
      <c r="J38" s="39">
        <f t="shared" si="0"/>
        <v>23464.579727352804</v>
      </c>
      <c r="L38" s="60" t="s">
        <v>32</v>
      </c>
      <c r="M38" s="50">
        <v>91.7</v>
      </c>
      <c r="N38" s="50">
        <v>30727</v>
      </c>
      <c r="O38" s="63">
        <f>AVERAGE(M38:M40)</f>
        <v>91.7</v>
      </c>
      <c r="P38" s="64">
        <f>AVERAGE(N38:N40)</f>
        <v>31062</v>
      </c>
    </row>
    <row r="39" spans="1:27" x14ac:dyDescent="0.3">
      <c r="A39" s="73">
        <v>44474</v>
      </c>
      <c r="B39" s="17">
        <v>44475</v>
      </c>
      <c r="C39" s="20" t="s">
        <v>24</v>
      </c>
      <c r="D39" s="18" t="s">
        <v>22</v>
      </c>
      <c r="E39" s="18">
        <v>10</v>
      </c>
      <c r="F39" s="18">
        <v>33</v>
      </c>
      <c r="G39" s="18">
        <v>788</v>
      </c>
      <c r="H39" s="18">
        <v>796136</v>
      </c>
      <c r="I39" s="18">
        <f t="shared" si="1"/>
        <v>0.20415787944863761</v>
      </c>
      <c r="J39" s="19">
        <f t="shared" ref="J39:J66" si="2">(H39*$AA$29)+$AA$30</f>
        <v>6299.5035053527845</v>
      </c>
      <c r="L39" s="8" t="s">
        <v>32</v>
      </c>
      <c r="M39" s="65">
        <v>91.7</v>
      </c>
      <c r="N39" s="65">
        <v>30045</v>
      </c>
      <c r="O39" s="66"/>
      <c r="P39" s="67"/>
    </row>
    <row r="40" spans="1:27" ht="17.25" thickBot="1" x14ac:dyDescent="0.35">
      <c r="A40" s="78">
        <v>44474</v>
      </c>
      <c r="B40" s="11">
        <v>44475</v>
      </c>
      <c r="C40" s="16" t="s">
        <v>24</v>
      </c>
      <c r="D40" s="14" t="s">
        <v>22</v>
      </c>
      <c r="E40" s="14">
        <v>20</v>
      </c>
      <c r="F40" s="14">
        <v>34</v>
      </c>
      <c r="G40" s="14">
        <v>471</v>
      </c>
      <c r="H40" s="14">
        <v>1565203</v>
      </c>
      <c r="I40" s="14">
        <f t="shared" si="1"/>
        <v>-0.41633264924525826</v>
      </c>
      <c r="J40" s="15">
        <f t="shared" si="2"/>
        <v>12666.161607399392</v>
      </c>
      <c r="L40" s="10" t="s">
        <v>32</v>
      </c>
      <c r="M40" s="68">
        <v>91.7</v>
      </c>
      <c r="N40" s="68">
        <v>32414</v>
      </c>
      <c r="O40" s="68"/>
      <c r="P40" s="119"/>
    </row>
    <row r="41" spans="1:27" ht="17.25" thickBot="1" x14ac:dyDescent="0.35">
      <c r="A41" s="78">
        <v>44474</v>
      </c>
      <c r="B41" s="11">
        <v>44475</v>
      </c>
      <c r="C41" s="16" t="s">
        <v>24</v>
      </c>
      <c r="D41" s="14" t="s">
        <v>22</v>
      </c>
      <c r="E41" s="14">
        <v>35</v>
      </c>
      <c r="F41" s="14">
        <v>35</v>
      </c>
      <c r="G41" s="14">
        <v>445</v>
      </c>
      <c r="H41" s="14">
        <v>1661265</v>
      </c>
      <c r="I41" s="14">
        <f t="shared" si="1"/>
        <v>-0.46722461689838535</v>
      </c>
      <c r="J41" s="15">
        <f t="shared" si="2"/>
        <v>13461.402998069909</v>
      </c>
      <c r="L41" s="75" t="s">
        <v>36</v>
      </c>
      <c r="M41" s="76">
        <v>2500</v>
      </c>
      <c r="N41" s="77">
        <v>296446</v>
      </c>
      <c r="O41" s="77">
        <f>AVERAGE(M41:M41)</f>
        <v>2500</v>
      </c>
      <c r="P41" s="120">
        <f>AVERAGE(N41)</f>
        <v>296446</v>
      </c>
    </row>
    <row r="42" spans="1:27" ht="17.25" thickBot="1" x14ac:dyDescent="0.35">
      <c r="A42" s="81">
        <v>44474</v>
      </c>
      <c r="B42" s="32">
        <v>44475</v>
      </c>
      <c r="C42" s="41" t="s">
        <v>24</v>
      </c>
      <c r="D42" s="33" t="s">
        <v>22</v>
      </c>
      <c r="E42" s="33">
        <v>50</v>
      </c>
      <c r="F42" s="33">
        <v>36</v>
      </c>
      <c r="G42" s="33">
        <v>428</v>
      </c>
      <c r="H42" s="33">
        <v>2450661</v>
      </c>
      <c r="I42" s="33">
        <f t="shared" si="1"/>
        <v>-0.50050013421004536</v>
      </c>
      <c r="J42" s="34">
        <f t="shared" si="2"/>
        <v>19996.353059798192</v>
      </c>
      <c r="L42" s="75" t="s">
        <v>46</v>
      </c>
      <c r="M42" s="76">
        <v>5000</v>
      </c>
      <c r="N42" s="77">
        <v>647384</v>
      </c>
      <c r="O42" s="77">
        <f>AVERAGE(M42:M42)</f>
        <v>5000</v>
      </c>
      <c r="P42" s="120">
        <f t="shared" ref="P42:P43" si="3">AVERAGE(N42)</f>
        <v>647384</v>
      </c>
    </row>
    <row r="43" spans="1:27" ht="17.25" thickBot="1" x14ac:dyDescent="0.35">
      <c r="A43" s="73">
        <v>44474</v>
      </c>
      <c r="B43" s="17">
        <v>44475</v>
      </c>
      <c r="C43" s="20" t="s">
        <v>24</v>
      </c>
      <c r="D43" s="18" t="s">
        <v>23</v>
      </c>
      <c r="E43" s="18">
        <v>10</v>
      </c>
      <c r="F43" s="18">
        <v>37</v>
      </c>
      <c r="G43" s="18">
        <v>912</v>
      </c>
      <c r="H43" s="18">
        <v>482086</v>
      </c>
      <c r="I43" s="18">
        <f t="shared" si="1"/>
        <v>0.44687341748662823</v>
      </c>
      <c r="J43" s="19">
        <f t="shared" si="2"/>
        <v>3699.6663299860893</v>
      </c>
      <c r="L43" s="121" t="s">
        <v>34</v>
      </c>
      <c r="M43" s="122">
        <v>10000</v>
      </c>
      <c r="N43" s="123">
        <v>1241409</v>
      </c>
      <c r="O43" s="123">
        <f>M43</f>
        <v>10000</v>
      </c>
      <c r="P43" s="124">
        <f t="shared" si="3"/>
        <v>1241409</v>
      </c>
    </row>
    <row r="44" spans="1:27" x14ac:dyDescent="0.3">
      <c r="A44" s="78">
        <v>44474</v>
      </c>
      <c r="B44" s="11">
        <v>44475</v>
      </c>
      <c r="C44" s="16" t="s">
        <v>24</v>
      </c>
      <c r="D44" s="14" t="s">
        <v>23</v>
      </c>
      <c r="E44" s="14">
        <v>20</v>
      </c>
      <c r="F44" s="14">
        <v>38</v>
      </c>
      <c r="G44" s="14">
        <v>520</v>
      </c>
      <c r="H44" s="14">
        <v>1144069</v>
      </c>
      <c r="I44" s="14">
        <f t="shared" si="1"/>
        <v>-0.32042086405282633</v>
      </c>
      <c r="J44" s="15">
        <f t="shared" si="2"/>
        <v>9179.83831807961</v>
      </c>
    </row>
    <row r="45" spans="1:27" x14ac:dyDescent="0.3">
      <c r="A45" s="78">
        <v>44474</v>
      </c>
      <c r="B45" s="11">
        <v>44475</v>
      </c>
      <c r="C45" s="16" t="s">
        <v>24</v>
      </c>
      <c r="D45" s="14" t="s">
        <v>23</v>
      </c>
      <c r="E45" s="14">
        <v>35</v>
      </c>
      <c r="F45" s="14">
        <v>39</v>
      </c>
      <c r="G45" s="14">
        <v>435</v>
      </c>
      <c r="H45" s="14">
        <v>1361271</v>
      </c>
      <c r="I45" s="14">
        <f t="shared" si="1"/>
        <v>-0.48679845061112659</v>
      </c>
      <c r="J45" s="15">
        <f t="shared" si="2"/>
        <v>10977.927266221615</v>
      </c>
      <c r="L45" s="1"/>
      <c r="M45" s="74"/>
    </row>
    <row r="46" spans="1:27" ht="17.25" thickBot="1" x14ac:dyDescent="0.35">
      <c r="A46" s="78">
        <v>44474</v>
      </c>
      <c r="B46" s="11">
        <v>44475</v>
      </c>
      <c r="C46" s="16" t="s">
        <v>24</v>
      </c>
      <c r="D46" s="14" t="s">
        <v>23</v>
      </c>
      <c r="E46" s="14">
        <v>50</v>
      </c>
      <c r="F46" s="14">
        <v>40</v>
      </c>
      <c r="G46" s="14">
        <v>315</v>
      </c>
      <c r="H46" s="14">
        <v>2571883</v>
      </c>
      <c r="I46" s="14">
        <f t="shared" si="1"/>
        <v>-0.7216844551640208</v>
      </c>
      <c r="J46" s="15">
        <f t="shared" si="2"/>
        <v>20999.879447546326</v>
      </c>
    </row>
    <row r="47" spans="1:27" x14ac:dyDescent="0.3">
      <c r="A47" s="79">
        <v>44474</v>
      </c>
      <c r="B47" s="26">
        <v>44475</v>
      </c>
      <c r="C47" s="27" t="s">
        <v>25</v>
      </c>
      <c r="D47" s="27" t="s">
        <v>19</v>
      </c>
      <c r="E47" s="27">
        <v>10</v>
      </c>
      <c r="F47" s="27">
        <v>41</v>
      </c>
      <c r="G47" s="27">
        <v>795</v>
      </c>
      <c r="H47" s="27">
        <v>391554</v>
      </c>
      <c r="I47" s="27">
        <f t="shared" si="1"/>
        <v>0.21785956304755638</v>
      </c>
      <c r="J47" s="28">
        <f t="shared" si="2"/>
        <v>2950.204590899009</v>
      </c>
    </row>
    <row r="48" spans="1:27" x14ac:dyDescent="0.3">
      <c r="A48" s="80">
        <v>44474</v>
      </c>
      <c r="B48" s="29">
        <v>44475</v>
      </c>
      <c r="C48" s="30" t="s">
        <v>25</v>
      </c>
      <c r="D48" s="30" t="s">
        <v>19</v>
      </c>
      <c r="E48" s="30">
        <v>20</v>
      </c>
      <c r="F48" s="30">
        <v>42</v>
      </c>
      <c r="G48" s="30">
        <v>441</v>
      </c>
      <c r="H48" s="30">
        <v>1446330</v>
      </c>
      <c r="I48" s="30">
        <f t="shared" si="1"/>
        <v>-0.47505415038348187</v>
      </c>
      <c r="J48" s="31">
        <f t="shared" si="2"/>
        <v>11682.08122355171</v>
      </c>
    </row>
    <row r="49" spans="1:17" x14ac:dyDescent="0.3">
      <c r="A49" s="80">
        <v>44474</v>
      </c>
      <c r="B49" s="29">
        <v>44475</v>
      </c>
      <c r="C49" s="30" t="s">
        <v>25</v>
      </c>
      <c r="D49" s="30" t="s">
        <v>19</v>
      </c>
      <c r="E49" s="30">
        <v>35</v>
      </c>
      <c r="F49" s="30">
        <v>43</v>
      </c>
      <c r="G49" s="30">
        <v>344</v>
      </c>
      <c r="H49" s="30">
        <v>1892176</v>
      </c>
      <c r="I49" s="30">
        <f t="shared" si="1"/>
        <v>-0.66492033739707135</v>
      </c>
      <c r="J49" s="31">
        <f t="shared" si="2"/>
        <v>15372.980778681591</v>
      </c>
    </row>
    <row r="50" spans="1:17" ht="17.25" thickBot="1" x14ac:dyDescent="0.35">
      <c r="A50" s="80">
        <v>44474</v>
      </c>
      <c r="B50" s="29">
        <v>44475</v>
      </c>
      <c r="C50" s="30" t="s">
        <v>25</v>
      </c>
      <c r="D50" s="30" t="s">
        <v>19</v>
      </c>
      <c r="E50" s="30">
        <v>50</v>
      </c>
      <c r="F50" s="30">
        <v>44</v>
      </c>
      <c r="G50" s="30">
        <v>256</v>
      </c>
      <c r="H50" s="30">
        <v>3513272</v>
      </c>
      <c r="I50" s="30">
        <f t="shared" si="1"/>
        <v>-0.83717007406919386</v>
      </c>
      <c r="J50" s="31">
        <f t="shared" si="2"/>
        <v>28793.09109754243</v>
      </c>
    </row>
    <row r="51" spans="1:17" x14ac:dyDescent="0.3">
      <c r="A51" s="73">
        <v>44474</v>
      </c>
      <c r="B51" s="17">
        <v>44475</v>
      </c>
      <c r="C51" s="18" t="s">
        <v>25</v>
      </c>
      <c r="D51" s="18" t="s">
        <v>20</v>
      </c>
      <c r="E51" s="18">
        <v>10</v>
      </c>
      <c r="F51" s="18">
        <v>45</v>
      </c>
      <c r="G51" s="18">
        <v>703</v>
      </c>
      <c r="H51" s="18">
        <v>982564</v>
      </c>
      <c r="I51" s="18">
        <f t="shared" si="1"/>
        <v>3.7780292890337464E-2</v>
      </c>
      <c r="J51" s="19">
        <f t="shared" si="2"/>
        <v>7842.8324177210761</v>
      </c>
    </row>
    <row r="52" spans="1:17" x14ac:dyDescent="0.3">
      <c r="A52" s="78">
        <v>44474</v>
      </c>
      <c r="B52" s="11">
        <v>44475</v>
      </c>
      <c r="C52" s="14" t="s">
        <v>25</v>
      </c>
      <c r="D52" s="14" t="s">
        <v>20</v>
      </c>
      <c r="E52" s="14">
        <v>20</v>
      </c>
      <c r="F52" s="14">
        <v>46</v>
      </c>
      <c r="G52" s="14">
        <v>486</v>
      </c>
      <c r="H52" s="14">
        <v>1650621</v>
      </c>
      <c r="I52" s="14">
        <f t="shared" si="1"/>
        <v>-0.38697189867614645</v>
      </c>
      <c r="J52" s="15">
        <f t="shared" si="2"/>
        <v>13373.287516794306</v>
      </c>
    </row>
    <row r="53" spans="1:17" x14ac:dyDescent="0.3">
      <c r="A53" s="78">
        <v>44474</v>
      </c>
      <c r="B53" s="11">
        <v>44475</v>
      </c>
      <c r="C53" s="14" t="s">
        <v>25</v>
      </c>
      <c r="D53" s="14" t="s">
        <v>20</v>
      </c>
      <c r="E53" s="14">
        <v>35</v>
      </c>
      <c r="F53" s="14">
        <v>47</v>
      </c>
      <c r="G53" s="14">
        <v>364</v>
      </c>
      <c r="H53" s="14">
        <v>2330711</v>
      </c>
      <c r="I53" s="14">
        <f t="shared" si="1"/>
        <v>-0.62577266997158898</v>
      </c>
      <c r="J53" s="15">
        <f t="shared" si="2"/>
        <v>19003.356819756049</v>
      </c>
    </row>
    <row r="54" spans="1:17" ht="17.25" thickBot="1" x14ac:dyDescent="0.35">
      <c r="A54" s="81">
        <v>44474</v>
      </c>
      <c r="B54" s="32">
        <v>44475</v>
      </c>
      <c r="C54" s="33" t="s">
        <v>25</v>
      </c>
      <c r="D54" s="33" t="s">
        <v>20</v>
      </c>
      <c r="E54" s="33">
        <v>50</v>
      </c>
      <c r="F54" s="33">
        <v>48</v>
      </c>
      <c r="G54" s="33">
        <v>429</v>
      </c>
      <c r="H54" s="33">
        <v>2217688</v>
      </c>
      <c r="I54" s="33">
        <f t="shared" si="1"/>
        <v>-0.4985427508387712</v>
      </c>
      <c r="J54" s="34">
        <f t="shared" si="2"/>
        <v>18067.705181254314</v>
      </c>
    </row>
    <row r="55" spans="1:17" x14ac:dyDescent="0.3">
      <c r="A55" s="73">
        <v>44474</v>
      </c>
      <c r="B55" s="17">
        <v>44475</v>
      </c>
      <c r="C55" s="18" t="s">
        <v>25</v>
      </c>
      <c r="D55" s="18" t="s">
        <v>21</v>
      </c>
      <c r="E55" s="18">
        <v>10</v>
      </c>
      <c r="F55" s="18">
        <v>49</v>
      </c>
      <c r="G55" s="18">
        <v>773</v>
      </c>
      <c r="H55" s="18">
        <v>1060526</v>
      </c>
      <c r="I55" s="18">
        <f t="shared" si="1"/>
        <v>0.17479712887952581</v>
      </c>
      <c r="J55" s="19">
        <f t="shared" si="2"/>
        <v>8488.2344424494258</v>
      </c>
    </row>
    <row r="56" spans="1:17" x14ac:dyDescent="0.3">
      <c r="A56" s="78">
        <v>44474</v>
      </c>
      <c r="B56" s="11">
        <v>44475</v>
      </c>
      <c r="C56" s="14" t="s">
        <v>25</v>
      </c>
      <c r="D56" s="14" t="s">
        <v>21</v>
      </c>
      <c r="E56" s="14">
        <v>20</v>
      </c>
      <c r="F56" s="14">
        <v>50</v>
      </c>
      <c r="G56" s="14">
        <v>303</v>
      </c>
      <c r="H56" s="14">
        <v>2646670</v>
      </c>
      <c r="I56" s="14">
        <f t="shared" si="1"/>
        <v>-0.74517305561931024</v>
      </c>
      <c r="J56" s="15">
        <f t="shared" si="2"/>
        <v>21618.997495099738</v>
      </c>
      <c r="N56" s="71"/>
      <c r="O56" s="71"/>
      <c r="P56" s="71"/>
      <c r="Q56" s="71"/>
    </row>
    <row r="57" spans="1:17" x14ac:dyDescent="0.3">
      <c r="A57" s="78">
        <v>44474</v>
      </c>
      <c r="B57" s="11">
        <v>44475</v>
      </c>
      <c r="C57" s="14" t="s">
        <v>25</v>
      </c>
      <c r="D57" s="14" t="s">
        <v>21</v>
      </c>
      <c r="E57" s="14">
        <v>35</v>
      </c>
      <c r="F57" s="14">
        <v>51</v>
      </c>
      <c r="G57" s="14">
        <v>382</v>
      </c>
      <c r="H57" s="14">
        <v>2442366</v>
      </c>
      <c r="I57" s="14">
        <f t="shared" si="1"/>
        <v>-0.59053976928865481</v>
      </c>
      <c r="J57" s="15">
        <f t="shared" si="2"/>
        <v>19927.68358242304</v>
      </c>
      <c r="N57" s="1"/>
      <c r="O57" s="1"/>
      <c r="P57" s="1"/>
    </row>
    <row r="58" spans="1:17" ht="17.25" thickBot="1" x14ac:dyDescent="0.35">
      <c r="A58" s="81">
        <v>44474</v>
      </c>
      <c r="B58" s="32">
        <v>44475</v>
      </c>
      <c r="C58" s="33" t="s">
        <v>25</v>
      </c>
      <c r="D58" s="33" t="s">
        <v>21</v>
      </c>
      <c r="E58" s="33">
        <v>50</v>
      </c>
      <c r="F58" s="33">
        <v>52</v>
      </c>
      <c r="G58" s="33">
        <v>298</v>
      </c>
      <c r="H58" s="33">
        <v>4619577</v>
      </c>
      <c r="I58" s="33">
        <f t="shared" si="1"/>
        <v>-0.75495997247568081</v>
      </c>
      <c r="J58" s="34">
        <f t="shared" si="2"/>
        <v>37951.546331721867</v>
      </c>
      <c r="N58" s="1"/>
      <c r="O58" s="1"/>
      <c r="P58" s="1"/>
    </row>
    <row r="59" spans="1:17" x14ac:dyDescent="0.3">
      <c r="A59" s="79">
        <v>44474</v>
      </c>
      <c r="B59" s="26">
        <v>44475</v>
      </c>
      <c r="C59" s="27" t="s">
        <v>25</v>
      </c>
      <c r="D59" s="27" t="s">
        <v>22</v>
      </c>
      <c r="E59" s="27">
        <v>10</v>
      </c>
      <c r="F59" s="27">
        <v>53</v>
      </c>
      <c r="G59" s="27">
        <v>827</v>
      </c>
      <c r="H59" s="27">
        <v>488820</v>
      </c>
      <c r="I59" s="27">
        <f t="shared" si="1"/>
        <v>0.28049583092832808</v>
      </c>
      <c r="J59" s="28">
        <f t="shared" si="2"/>
        <v>3755.413196850981</v>
      </c>
      <c r="N59" s="1"/>
      <c r="O59" s="1"/>
      <c r="P59" s="1"/>
    </row>
    <row r="60" spans="1:17" x14ac:dyDescent="0.3">
      <c r="A60" s="80">
        <v>44474</v>
      </c>
      <c r="B60" s="29">
        <v>44475</v>
      </c>
      <c r="C60" s="30" t="s">
        <v>25</v>
      </c>
      <c r="D60" s="30" t="s">
        <v>22</v>
      </c>
      <c r="E60" s="30">
        <v>20</v>
      </c>
      <c r="F60" s="30">
        <v>54</v>
      </c>
      <c r="G60" s="30">
        <v>416</v>
      </c>
      <c r="H60" s="30">
        <v>1230078</v>
      </c>
      <c r="I60" s="30">
        <f t="shared" si="1"/>
        <v>-0.5239887346653348</v>
      </c>
      <c r="J60" s="31">
        <f t="shared" si="2"/>
        <v>9891.8567725171652</v>
      </c>
      <c r="N60" s="1"/>
      <c r="O60" s="1"/>
      <c r="P60" s="1"/>
    </row>
    <row r="61" spans="1:17" x14ac:dyDescent="0.3">
      <c r="A61" s="80">
        <v>44474</v>
      </c>
      <c r="B61" s="29">
        <v>44475</v>
      </c>
      <c r="C61" s="30" t="s">
        <v>25</v>
      </c>
      <c r="D61" s="30" t="s">
        <v>22</v>
      </c>
      <c r="E61" s="30">
        <v>35</v>
      </c>
      <c r="F61" s="30">
        <v>55</v>
      </c>
      <c r="G61" s="30">
        <v>336</v>
      </c>
      <c r="H61" s="30">
        <v>1803882</v>
      </c>
      <c r="I61" s="30">
        <f t="shared" si="1"/>
        <v>-0.68057940436726438</v>
      </c>
      <c r="J61" s="31">
        <f t="shared" si="2"/>
        <v>14642.046139096088</v>
      </c>
      <c r="N61" s="1"/>
      <c r="O61" s="1"/>
      <c r="P61" s="1"/>
    </row>
    <row r="62" spans="1:17" ht="17.25" thickBot="1" x14ac:dyDescent="0.35">
      <c r="A62" s="82">
        <v>44474</v>
      </c>
      <c r="B62" s="43">
        <v>44475</v>
      </c>
      <c r="C62" s="37" t="s">
        <v>25</v>
      </c>
      <c r="D62" s="37" t="s">
        <v>22</v>
      </c>
      <c r="E62" s="37">
        <v>50</v>
      </c>
      <c r="F62" s="37">
        <v>56</v>
      </c>
      <c r="G62" s="37">
        <v>273</v>
      </c>
      <c r="H62" s="37">
        <v>2149376</v>
      </c>
      <c r="I62" s="37">
        <f t="shared" si="1"/>
        <v>-0.80389455675753385</v>
      </c>
      <c r="J62" s="39">
        <f t="shared" si="2"/>
        <v>17502.189890301757</v>
      </c>
      <c r="N62" s="1"/>
      <c r="O62" s="1"/>
      <c r="P62" s="1"/>
    </row>
    <row r="63" spans="1:17" x14ac:dyDescent="0.3">
      <c r="A63" s="73">
        <v>44474</v>
      </c>
      <c r="B63" s="17">
        <v>44475</v>
      </c>
      <c r="C63" s="18" t="s">
        <v>25</v>
      </c>
      <c r="D63" s="18" t="s">
        <v>23</v>
      </c>
      <c r="E63" s="18">
        <v>10</v>
      </c>
      <c r="F63" s="18">
        <v>57</v>
      </c>
      <c r="G63" s="18">
        <v>591</v>
      </c>
      <c r="H63" s="18">
        <v>1209764</v>
      </c>
      <c r="I63" s="18">
        <f t="shared" si="1"/>
        <v>-0.18144664469236393</v>
      </c>
      <c r="J63" s="19">
        <f t="shared" si="2"/>
        <v>9723.6889891056089</v>
      </c>
      <c r="N63" s="1"/>
      <c r="O63" s="1"/>
      <c r="P63" s="1"/>
    </row>
    <row r="64" spans="1:17" x14ac:dyDescent="0.3">
      <c r="A64" s="78">
        <v>44474</v>
      </c>
      <c r="B64" s="11">
        <v>44475</v>
      </c>
      <c r="C64" s="14" t="s">
        <v>25</v>
      </c>
      <c r="D64" s="14" t="s">
        <v>23</v>
      </c>
      <c r="E64" s="14">
        <v>20</v>
      </c>
      <c r="F64" s="14">
        <v>58</v>
      </c>
      <c r="G64" s="14">
        <v>344</v>
      </c>
      <c r="H64" s="14">
        <v>1767965</v>
      </c>
      <c r="I64" s="14">
        <f t="shared" si="1"/>
        <v>-0.66492033739707135</v>
      </c>
      <c r="J64" s="15">
        <f t="shared" si="2"/>
        <v>14344.710199507979</v>
      </c>
      <c r="N64" s="1"/>
      <c r="O64" s="1"/>
      <c r="P64" s="1"/>
    </row>
    <row r="65" spans="1:16" x14ac:dyDescent="0.3">
      <c r="A65" s="78">
        <v>44474</v>
      </c>
      <c r="B65" s="11">
        <v>44475</v>
      </c>
      <c r="C65" s="14" t="s">
        <v>25</v>
      </c>
      <c r="D65" s="14" t="s">
        <v>23</v>
      </c>
      <c r="E65" s="14">
        <v>35</v>
      </c>
      <c r="F65" s="14">
        <v>59</v>
      </c>
      <c r="G65" s="14">
        <v>249</v>
      </c>
      <c r="H65" s="14">
        <v>3316832</v>
      </c>
      <c r="I65" s="14">
        <f t="shared" si="1"/>
        <v>-0.85087175766811263</v>
      </c>
      <c r="J65" s="15">
        <f t="shared" si="2"/>
        <v>27166.878664079501</v>
      </c>
      <c r="N65" s="1"/>
      <c r="O65" s="1"/>
      <c r="P65" s="1"/>
    </row>
    <row r="66" spans="1:16" x14ac:dyDescent="0.3">
      <c r="A66" s="78">
        <v>44474</v>
      </c>
      <c r="B66" s="11">
        <v>44475</v>
      </c>
      <c r="C66" s="14" t="s">
        <v>25</v>
      </c>
      <c r="D66" s="14" t="s">
        <v>23</v>
      </c>
      <c r="E66" s="14">
        <v>50</v>
      </c>
      <c r="F66" s="14">
        <v>60</v>
      </c>
      <c r="G66" s="14">
        <v>284</v>
      </c>
      <c r="H66" s="14">
        <v>3465515</v>
      </c>
      <c r="I66" s="14">
        <f t="shared" si="1"/>
        <v>-0.78236333967351857</v>
      </c>
      <c r="J66" s="15">
        <f t="shared" si="2"/>
        <v>28397.738688741327</v>
      </c>
      <c r="N66" s="1"/>
      <c r="O66" s="1"/>
      <c r="P66" s="1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zoomScale="70" zoomScaleNormal="70" workbookViewId="0">
      <selection activeCell="P1" sqref="P1"/>
    </sheetView>
  </sheetViews>
  <sheetFormatPr defaultRowHeight="15" x14ac:dyDescent="0.25"/>
  <cols>
    <col min="1" max="3" width="11.140625" customWidth="1"/>
    <col min="9" max="9" width="2.7109375" customWidth="1"/>
    <col min="16" max="16" width="27.85546875" customWidth="1"/>
  </cols>
  <sheetData>
    <row r="1" spans="1:16" ht="33.75" thickBot="1" x14ac:dyDescent="0.35">
      <c r="A1" s="86" t="s">
        <v>1</v>
      </c>
      <c r="B1" s="87" t="s">
        <v>5</v>
      </c>
      <c r="C1" s="87" t="s">
        <v>2</v>
      </c>
      <c r="D1" s="88" t="s">
        <v>8</v>
      </c>
      <c r="E1" s="89" t="s">
        <v>9</v>
      </c>
      <c r="F1" s="89" t="s">
        <v>43</v>
      </c>
      <c r="G1" s="89" t="s">
        <v>44</v>
      </c>
      <c r="H1" s="89" t="s">
        <v>45</v>
      </c>
      <c r="I1" s="90"/>
      <c r="J1" s="91" t="s">
        <v>37</v>
      </c>
      <c r="K1" s="91" t="s">
        <v>38</v>
      </c>
      <c r="L1" s="91" t="s">
        <v>39</v>
      </c>
      <c r="M1" s="91" t="s">
        <v>40</v>
      </c>
      <c r="N1" s="91" t="s">
        <v>41</v>
      </c>
      <c r="O1" s="92" t="s">
        <v>42</v>
      </c>
      <c r="P1" s="125" t="s">
        <v>49</v>
      </c>
    </row>
    <row r="2" spans="1:16" ht="16.5" x14ac:dyDescent="0.3">
      <c r="A2" s="85" t="s">
        <v>18</v>
      </c>
      <c r="B2" s="57" t="s">
        <v>19</v>
      </c>
      <c r="C2" s="57">
        <v>10</v>
      </c>
      <c r="D2" s="4">
        <f>('STDs and Samples'!I7)</f>
        <v>0.2296038632752011</v>
      </c>
      <c r="E2" s="4">
        <f>('STDs and Samples'!J7)</f>
        <v>3171.3625279788407</v>
      </c>
      <c r="F2" s="4"/>
      <c r="G2" s="4"/>
      <c r="H2" s="4"/>
      <c r="I2" s="4"/>
      <c r="J2" s="4">
        <f>AVERAGE(D2:D6)</f>
        <v>0.4018535999473235</v>
      </c>
      <c r="K2" s="4">
        <f>STDEV(D2:D6)</f>
        <v>0.22754108125640704</v>
      </c>
      <c r="L2" s="4">
        <f>K2/SQRT(5)</f>
        <v>0.10175946507262587</v>
      </c>
      <c r="M2" s="4">
        <f>AVERAGE(E2:E6)</f>
        <v>3018.8790353249665</v>
      </c>
      <c r="N2" s="4">
        <f>STDEV(E2:E6)</f>
        <v>714.9815203032789</v>
      </c>
      <c r="O2" s="7">
        <f>N2/SQRT(5)</f>
        <v>319.74945641085554</v>
      </c>
    </row>
    <row r="3" spans="1:16" ht="16.5" x14ac:dyDescent="0.3">
      <c r="A3" s="83" t="s">
        <v>18</v>
      </c>
      <c r="B3" s="14" t="s">
        <v>20</v>
      </c>
      <c r="C3" s="14">
        <v>10</v>
      </c>
      <c r="D3" s="5">
        <f>('STDs and Samples'!I11)</f>
        <v>0.7306940063213756</v>
      </c>
      <c r="E3" s="5">
        <f>('STDs and Samples'!J11)</f>
        <v>3103.5291708224813</v>
      </c>
      <c r="F3" s="5"/>
      <c r="G3" s="5"/>
      <c r="H3" s="5"/>
      <c r="I3" s="5"/>
      <c r="J3" s="5"/>
      <c r="K3" s="5"/>
      <c r="L3" s="5"/>
      <c r="M3" s="5"/>
      <c r="N3" s="5"/>
      <c r="O3" s="9"/>
    </row>
    <row r="4" spans="1:16" ht="16.5" x14ac:dyDescent="0.3">
      <c r="A4" s="83" t="s">
        <v>18</v>
      </c>
      <c r="B4" s="14" t="s">
        <v>21</v>
      </c>
      <c r="C4" s="14">
        <v>10</v>
      </c>
      <c r="D4" s="5">
        <f>('STDs and Samples'!I15)</f>
        <v>0.49385061839720712</v>
      </c>
      <c r="E4" s="5">
        <f>('STDs and Samples'!J15)</f>
        <v>3675.8410429594842</v>
      </c>
      <c r="F4" s="5"/>
      <c r="G4" s="5"/>
      <c r="H4" s="5"/>
      <c r="I4" s="5"/>
      <c r="J4" s="5"/>
      <c r="K4" s="5"/>
      <c r="L4" s="5"/>
      <c r="M4" s="5"/>
      <c r="N4" s="5"/>
      <c r="O4" s="9"/>
    </row>
    <row r="5" spans="1:16" ht="16.5" x14ac:dyDescent="0.3">
      <c r="A5" s="83" t="s">
        <v>18</v>
      </c>
      <c r="B5" s="14" t="s">
        <v>22</v>
      </c>
      <c r="C5" s="14">
        <v>10</v>
      </c>
      <c r="D5" s="14">
        <f>('STDs and Samples'!I19)</f>
        <v>0.15522329516678446</v>
      </c>
      <c r="E5" s="14">
        <f>('STDs and Samples'!J19)</f>
        <v>3340.9459208697394</v>
      </c>
      <c r="F5" s="14"/>
      <c r="G5" s="14"/>
      <c r="H5" s="14"/>
      <c r="I5" s="5"/>
      <c r="J5" s="5"/>
      <c r="K5" s="5"/>
      <c r="L5" s="5"/>
      <c r="M5" s="5"/>
      <c r="N5" s="5"/>
      <c r="O5" s="9"/>
    </row>
    <row r="6" spans="1:16" ht="17.25" thickBot="1" x14ac:dyDescent="0.35">
      <c r="A6" s="102" t="s">
        <v>18</v>
      </c>
      <c r="B6" s="33" t="s">
        <v>23</v>
      </c>
      <c r="C6" s="33">
        <v>10</v>
      </c>
      <c r="D6" s="33">
        <f>('STDs and Samples'!I23)</f>
        <v>0.39989621657604935</v>
      </c>
      <c r="E6" s="33">
        <f>('STDs and Samples'!J23)</f>
        <v>1802.7165139942858</v>
      </c>
      <c r="F6" s="33"/>
      <c r="G6" s="33"/>
      <c r="H6" s="33"/>
      <c r="I6" s="44"/>
      <c r="J6" s="44"/>
      <c r="K6" s="44"/>
      <c r="L6" s="44"/>
      <c r="M6" s="44"/>
      <c r="N6" s="44"/>
      <c r="O6" s="103"/>
    </row>
    <row r="7" spans="1:16" ht="16.5" x14ac:dyDescent="0.3">
      <c r="A7" s="106" t="s">
        <v>18</v>
      </c>
      <c r="B7" s="107" t="s">
        <v>19</v>
      </c>
      <c r="C7" s="107">
        <v>20</v>
      </c>
      <c r="D7" s="108">
        <f>('STDs and Samples'!I8)</f>
        <v>-0.27540104651352171</v>
      </c>
      <c r="E7" s="108">
        <f>('STDs and Samples'!J8)</f>
        <v>6482.6303901045321</v>
      </c>
      <c r="F7" s="108"/>
      <c r="G7" s="108"/>
      <c r="H7" s="108"/>
      <c r="I7" s="108"/>
      <c r="J7" s="108">
        <f>AVERAGE(D7:D11)</f>
        <v>-0.27109480309671863</v>
      </c>
      <c r="K7" s="108">
        <f>STDEV(D7:D11)</f>
        <v>0.23512810597584433</v>
      </c>
      <c r="L7" s="108">
        <f>K7/SQRT(5)</f>
        <v>0.10515248567655248</v>
      </c>
      <c r="M7" s="108">
        <f>AVERAGE(E7:E11)</f>
        <v>9868.9702580926496</v>
      </c>
      <c r="N7" s="108">
        <f>STDEV(E7:E11)</f>
        <v>3122.5740910719564</v>
      </c>
      <c r="O7" s="109">
        <f>N7/SQRT(5)</f>
        <v>1396.4575864833027</v>
      </c>
    </row>
    <row r="8" spans="1:16" ht="16.5" x14ac:dyDescent="0.3">
      <c r="A8" s="93" t="s">
        <v>18</v>
      </c>
      <c r="B8" s="94" t="s">
        <v>20</v>
      </c>
      <c r="C8" s="94">
        <v>20</v>
      </c>
      <c r="D8" s="95">
        <f>('STDs and Samples'!I12)</f>
        <v>6.5183660088174999E-2</v>
      </c>
      <c r="E8" s="95">
        <f>('STDs and Samples'!J12)</f>
        <v>14757.28999618343</v>
      </c>
      <c r="F8" s="95"/>
      <c r="G8" s="95"/>
      <c r="H8" s="95"/>
      <c r="I8" s="95"/>
      <c r="J8" s="95"/>
      <c r="K8" s="95"/>
      <c r="L8" s="95"/>
      <c r="M8" s="95"/>
      <c r="N8" s="95"/>
      <c r="O8" s="96"/>
    </row>
    <row r="9" spans="1:16" ht="16.5" x14ac:dyDescent="0.3">
      <c r="A9" s="93" t="s">
        <v>18</v>
      </c>
      <c r="B9" s="94" t="s">
        <v>21</v>
      </c>
      <c r="C9" s="94">
        <v>20</v>
      </c>
      <c r="D9" s="95">
        <f>('STDs and Samples'!I16)</f>
        <v>-0.21472216200402405</v>
      </c>
      <c r="E9" s="95">
        <f>('STDs and Samples'!J16)</f>
        <v>10562.425187989393</v>
      </c>
      <c r="F9" s="95"/>
      <c r="G9" s="95"/>
      <c r="H9" s="95"/>
      <c r="I9" s="95"/>
      <c r="J9" s="95"/>
      <c r="K9" s="95"/>
      <c r="L9" s="95"/>
      <c r="M9" s="95"/>
      <c r="N9" s="95"/>
      <c r="O9" s="96"/>
    </row>
    <row r="10" spans="1:16" ht="16.5" x14ac:dyDescent="0.3">
      <c r="A10" s="93" t="s">
        <v>18</v>
      </c>
      <c r="B10" s="94" t="s">
        <v>22</v>
      </c>
      <c r="C10" s="94">
        <v>20</v>
      </c>
      <c r="D10" s="94">
        <f>('STDs and Samples'!I20)</f>
        <v>-0.34390946450811588</v>
      </c>
      <c r="E10" s="94">
        <f>('STDs and Samples'!J20)</f>
        <v>9382.8334060502093</v>
      </c>
      <c r="F10" s="94"/>
      <c r="G10" s="94"/>
      <c r="H10" s="94"/>
      <c r="I10" s="95"/>
      <c r="J10" s="95"/>
      <c r="K10" s="95"/>
      <c r="L10" s="95"/>
      <c r="M10" s="95"/>
      <c r="N10" s="95"/>
      <c r="O10" s="96"/>
    </row>
    <row r="11" spans="1:16" ht="17.25" thickBot="1" x14ac:dyDescent="0.35">
      <c r="A11" s="98" t="s">
        <v>18</v>
      </c>
      <c r="B11" s="99" t="s">
        <v>23</v>
      </c>
      <c r="C11" s="99">
        <v>20</v>
      </c>
      <c r="D11" s="99">
        <f>('STDs and Samples'!I24)</f>
        <v>-0.58662500254610661</v>
      </c>
      <c r="E11" s="99">
        <f>('STDs and Samples'!J24)</f>
        <v>8159.6723101356893</v>
      </c>
      <c r="F11" s="99"/>
      <c r="G11" s="99"/>
      <c r="H11" s="99"/>
      <c r="I11" s="100"/>
      <c r="J11" s="100"/>
      <c r="K11" s="100"/>
      <c r="L11" s="100"/>
      <c r="M11" s="100"/>
      <c r="N11" s="100"/>
      <c r="O11" s="101"/>
    </row>
    <row r="12" spans="1:16" ht="16.5" x14ac:dyDescent="0.3">
      <c r="A12" s="85" t="s">
        <v>18</v>
      </c>
      <c r="B12" s="57" t="s">
        <v>19</v>
      </c>
      <c r="C12" s="57">
        <v>35</v>
      </c>
      <c r="D12" s="4">
        <f>('STDs and Samples'!I9)</f>
        <v>-0.5200739679227866</v>
      </c>
      <c r="E12" s="4">
        <f>('STDs and Samples'!J9)</f>
        <v>8507.5231564077258</v>
      </c>
      <c r="F12" s="4"/>
      <c r="G12" s="4"/>
      <c r="H12" s="4"/>
      <c r="I12" s="4"/>
      <c r="J12" s="4">
        <f>AVERAGE(D12:D16)</f>
        <v>-0.39440995548698815</v>
      </c>
      <c r="K12" s="4">
        <f>STDEV(D12:D16)</f>
        <v>0.19972217604081055</v>
      </c>
      <c r="L12" s="4">
        <f>K12/SQRT(5)</f>
        <v>8.9318472448286432E-2</v>
      </c>
      <c r="M12" s="4">
        <f>AVERAGE(E12:E16)</f>
        <v>14877.100228643903</v>
      </c>
      <c r="N12" s="4">
        <f>STDEV(E12:E16)</f>
        <v>9632.8910193855354</v>
      </c>
      <c r="O12" s="7">
        <f>N12/SQRT(5)</f>
        <v>4307.9598278386602</v>
      </c>
    </row>
    <row r="13" spans="1:16" ht="16.5" x14ac:dyDescent="0.3">
      <c r="A13" s="83" t="s">
        <v>18</v>
      </c>
      <c r="B13" s="14" t="s">
        <v>20</v>
      </c>
      <c r="C13" s="14">
        <v>35</v>
      </c>
      <c r="D13" s="5">
        <f>('STDs and Samples'!I13)</f>
        <v>-0.23233861234549114</v>
      </c>
      <c r="E13" s="5">
        <f>('STDs and Samples'!J13)</f>
        <v>31149.650402912306</v>
      </c>
      <c r="F13" s="5"/>
      <c r="G13" s="5"/>
      <c r="H13" s="5"/>
      <c r="I13" s="5"/>
      <c r="J13" s="5"/>
      <c r="K13" s="5"/>
      <c r="L13" s="5"/>
      <c r="M13" s="5"/>
      <c r="N13" s="5"/>
      <c r="O13" s="9"/>
    </row>
    <row r="14" spans="1:16" ht="16.5" x14ac:dyDescent="0.3">
      <c r="A14" s="83" t="s">
        <v>18</v>
      </c>
      <c r="B14" s="14" t="s">
        <v>21</v>
      </c>
      <c r="C14" s="14">
        <v>35</v>
      </c>
      <c r="D14" s="5">
        <f>('STDs and Samples'!I17)</f>
        <v>-0.22255169548912046</v>
      </c>
      <c r="E14" s="5">
        <f>('STDs and Samples'!J17)</f>
        <v>8492.1666910031563</v>
      </c>
      <c r="F14" s="5"/>
      <c r="G14" s="5"/>
      <c r="H14" s="5"/>
      <c r="I14" s="5"/>
      <c r="J14" s="5"/>
      <c r="K14" s="5"/>
      <c r="L14" s="5"/>
      <c r="M14" s="5"/>
      <c r="N14" s="5"/>
      <c r="O14" s="9"/>
    </row>
    <row r="15" spans="1:16" ht="16.5" x14ac:dyDescent="0.3">
      <c r="A15" s="83" t="s">
        <v>18</v>
      </c>
      <c r="B15" s="14" t="s">
        <v>22</v>
      </c>
      <c r="C15" s="14">
        <v>35</v>
      </c>
      <c r="D15" s="14">
        <f>('STDs and Samples'!I21)</f>
        <v>-0.31650609731027823</v>
      </c>
      <c r="E15" s="14">
        <f>('STDs and Samples'!J21)</f>
        <v>10048.285759193583</v>
      </c>
      <c r="F15" s="14"/>
      <c r="G15" s="14"/>
      <c r="H15" s="14"/>
      <c r="I15" s="5"/>
      <c r="J15" s="5"/>
      <c r="K15" s="5"/>
      <c r="L15" s="5"/>
      <c r="M15" s="5"/>
      <c r="N15" s="5"/>
      <c r="O15" s="9"/>
    </row>
    <row r="16" spans="1:16" ht="17.25" thickBot="1" x14ac:dyDescent="0.35">
      <c r="A16" s="102" t="s">
        <v>18</v>
      </c>
      <c r="B16" s="33" t="s">
        <v>23</v>
      </c>
      <c r="C16" s="33">
        <v>35</v>
      </c>
      <c r="D16" s="33">
        <f>('STDs and Samples'!I25)</f>
        <v>-0.68057940436726438</v>
      </c>
      <c r="E16" s="33">
        <f>('STDs and Samples'!J25)</f>
        <v>16187.875133702753</v>
      </c>
      <c r="F16" s="33"/>
      <c r="G16" s="33"/>
      <c r="H16" s="33"/>
      <c r="I16" s="44"/>
      <c r="J16" s="44"/>
      <c r="K16" s="44"/>
      <c r="L16" s="44"/>
      <c r="M16" s="44"/>
      <c r="N16" s="44"/>
      <c r="O16" s="103"/>
    </row>
    <row r="17" spans="1:15" ht="16.5" x14ac:dyDescent="0.3">
      <c r="A17" s="106" t="s">
        <v>18</v>
      </c>
      <c r="B17" s="107" t="s">
        <v>19</v>
      </c>
      <c r="C17" s="107">
        <v>50</v>
      </c>
      <c r="D17" s="108">
        <f>('STDs and Samples'!I10)</f>
        <v>-0.71189753830765024</v>
      </c>
      <c r="E17" s="108">
        <f>('STDs and Samples'!J10)</f>
        <v>15721.046863821832</v>
      </c>
      <c r="F17" s="108"/>
      <c r="G17" s="108"/>
      <c r="H17" s="108"/>
      <c r="I17" s="108"/>
      <c r="J17" s="108">
        <f>AVERAGE(D17:D21)</f>
        <v>-0.49423650742196817</v>
      </c>
      <c r="K17" s="108">
        <f>STDEV(D17:D21)</f>
        <v>0.13801565532671889</v>
      </c>
      <c r="L17" s="108">
        <f>K17/SQRT(5)</f>
        <v>6.1722477453944873E-2</v>
      </c>
      <c r="M17" s="108">
        <f>AVERAGE(E17:E21)</f>
        <v>15318.603162155196</v>
      </c>
      <c r="N17" s="108">
        <f>STDEV(E17:E21)</f>
        <v>3816.9554819715704</v>
      </c>
      <c r="O17" s="109">
        <f>N17/SQRT(5)</f>
        <v>1706.9943849557808</v>
      </c>
    </row>
    <row r="18" spans="1:15" ht="16.5" x14ac:dyDescent="0.3">
      <c r="A18" s="93" t="s">
        <v>18</v>
      </c>
      <c r="B18" s="94" t="s">
        <v>20</v>
      </c>
      <c r="C18" s="94">
        <v>50</v>
      </c>
      <c r="D18" s="95">
        <f>('STDs and Samples'!I14)</f>
        <v>-0.3556537647357606</v>
      </c>
      <c r="E18" s="95">
        <f>('STDs and Samples'!J14)</f>
        <v>20860.321876769915</v>
      </c>
      <c r="F18" s="95"/>
      <c r="G18" s="95"/>
      <c r="H18" s="95"/>
      <c r="I18" s="95"/>
      <c r="J18" s="95"/>
      <c r="K18" s="95"/>
      <c r="L18" s="95"/>
      <c r="M18" s="95"/>
      <c r="N18" s="95"/>
      <c r="O18" s="96"/>
    </row>
    <row r="19" spans="1:15" ht="16.5" x14ac:dyDescent="0.3">
      <c r="A19" s="93" t="s">
        <v>18</v>
      </c>
      <c r="B19" s="94" t="s">
        <v>21</v>
      </c>
      <c r="C19" s="94">
        <v>50</v>
      </c>
      <c r="D19" s="95">
        <f>('STDs and Samples'!I18)</f>
        <v>-0.45743770004201478</v>
      </c>
      <c r="E19" s="95">
        <f>('STDs and Samples'!J18)</f>
        <v>13747.844539559681</v>
      </c>
      <c r="F19" s="95"/>
      <c r="G19" s="95"/>
      <c r="H19" s="95"/>
      <c r="I19" s="95"/>
      <c r="J19" s="95"/>
      <c r="K19" s="95"/>
      <c r="L19" s="95"/>
      <c r="M19" s="95"/>
      <c r="N19" s="95"/>
      <c r="O19" s="96"/>
    </row>
    <row r="20" spans="1:15" ht="16.5" x14ac:dyDescent="0.3">
      <c r="A20" s="93" t="s">
        <v>18</v>
      </c>
      <c r="B20" s="94" t="s">
        <v>22</v>
      </c>
      <c r="C20" s="94">
        <v>50</v>
      </c>
      <c r="D20" s="94">
        <f>('STDs and Samples'!I22)</f>
        <v>-0.41241788250271005</v>
      </c>
      <c r="E20" s="94">
        <f>('STDs and Samples'!J22)</f>
        <v>10359.413543182778</v>
      </c>
      <c r="F20" s="94"/>
      <c r="G20" s="94"/>
      <c r="H20" s="94"/>
      <c r="I20" s="95"/>
      <c r="J20" s="95"/>
      <c r="K20" s="95"/>
      <c r="L20" s="95"/>
      <c r="M20" s="95"/>
      <c r="N20" s="95"/>
      <c r="O20" s="96"/>
    </row>
    <row r="21" spans="1:15" ht="17.25" thickBot="1" x14ac:dyDescent="0.35">
      <c r="A21" s="98" t="s">
        <v>18</v>
      </c>
      <c r="B21" s="99" t="s">
        <v>23</v>
      </c>
      <c r="C21" s="99">
        <v>50</v>
      </c>
      <c r="D21" s="99">
        <f>('STDs and Samples'!I26)</f>
        <v>-0.53377565152170536</v>
      </c>
      <c r="E21" s="99">
        <f>('STDs and Samples'!J26)</f>
        <v>15904.388987441784</v>
      </c>
      <c r="F21" s="99"/>
      <c r="G21" s="99"/>
      <c r="H21" s="99"/>
      <c r="I21" s="100"/>
      <c r="J21" s="100"/>
      <c r="K21" s="100"/>
      <c r="L21" s="100"/>
      <c r="M21" s="100"/>
      <c r="N21" s="100"/>
      <c r="O21" s="101"/>
    </row>
    <row r="22" spans="1:15" ht="16.5" x14ac:dyDescent="0.3">
      <c r="A22" s="105" t="s">
        <v>24</v>
      </c>
      <c r="B22" s="57" t="s">
        <v>19</v>
      </c>
      <c r="C22" s="57">
        <v>10</v>
      </c>
      <c r="D22" s="57">
        <f>('STDs and Samples'!I27)</f>
        <v>0.10433132751365748</v>
      </c>
      <c r="E22" s="57">
        <f>('STDs and Samples'!J27)</f>
        <v>5576.2760729325946</v>
      </c>
      <c r="F22" s="57"/>
      <c r="G22" s="57"/>
      <c r="H22" s="57"/>
      <c r="I22" s="4"/>
      <c r="J22" s="4">
        <f>AVERAGE(D22:D26)</f>
        <v>0.27110039074621239</v>
      </c>
      <c r="K22" s="4">
        <f>STDEV(D22:D26)</f>
        <v>0.19115529811586635</v>
      </c>
      <c r="L22" s="4">
        <f>K22/SQRT(5)</f>
        <v>8.5487248169262925E-2</v>
      </c>
      <c r="M22" s="4">
        <f>AVERAGE(E22:E26)</f>
        <v>5580.7894664304768</v>
      </c>
      <c r="N22" s="4">
        <f>STDEV(E22:E26)</f>
        <v>1306.0632702272992</v>
      </c>
      <c r="O22" s="7">
        <f>N22/SQRT(5)</f>
        <v>584.08925102878356</v>
      </c>
    </row>
    <row r="23" spans="1:15" ht="16.5" x14ac:dyDescent="0.3">
      <c r="A23" s="84" t="s">
        <v>24</v>
      </c>
      <c r="B23" s="14" t="s">
        <v>20</v>
      </c>
      <c r="C23" s="14">
        <v>10</v>
      </c>
      <c r="D23" s="5">
        <f>('STDs and Samples'!I31)</f>
        <v>9.8459177399835118E-2</v>
      </c>
      <c r="E23" s="5">
        <f>('STDs and Samples'!J31)</f>
        <v>7185.8074941096984</v>
      </c>
      <c r="F23" s="5"/>
      <c r="G23" s="5"/>
      <c r="H23" s="5"/>
      <c r="I23" s="5"/>
      <c r="J23" s="5"/>
      <c r="K23" s="5"/>
      <c r="L23" s="5"/>
      <c r="M23" s="5"/>
      <c r="N23" s="5"/>
      <c r="O23" s="9"/>
    </row>
    <row r="24" spans="1:15" ht="16.5" x14ac:dyDescent="0.3">
      <c r="A24" s="84" t="s">
        <v>24</v>
      </c>
      <c r="B24" s="14" t="s">
        <v>21</v>
      </c>
      <c r="C24" s="14">
        <v>10</v>
      </c>
      <c r="D24" s="5">
        <f>('STDs and Samples'!I35)</f>
        <v>0.50168015188230353</v>
      </c>
      <c r="E24" s="5">
        <f>('STDs and Samples'!J35)</f>
        <v>5142.6939297712161</v>
      </c>
      <c r="F24" s="5"/>
      <c r="G24" s="5"/>
      <c r="H24" s="5"/>
      <c r="I24" s="5"/>
      <c r="J24" s="5"/>
      <c r="K24" s="5"/>
      <c r="L24" s="5"/>
      <c r="M24" s="5"/>
      <c r="N24" s="5"/>
      <c r="O24" s="9"/>
    </row>
    <row r="25" spans="1:15" ht="16.5" x14ac:dyDescent="0.3">
      <c r="A25" s="84" t="s">
        <v>24</v>
      </c>
      <c r="B25" s="14" t="s">
        <v>22</v>
      </c>
      <c r="C25" s="14">
        <v>10</v>
      </c>
      <c r="D25" s="5">
        <f>('STDs and Samples'!I39)</f>
        <v>0.20415787944863761</v>
      </c>
      <c r="E25" s="5">
        <f>('STDs and Samples'!J39)</f>
        <v>6299.5035053527845</v>
      </c>
      <c r="F25" s="5"/>
      <c r="G25" s="5"/>
      <c r="H25" s="5"/>
      <c r="I25" s="5"/>
      <c r="J25" s="5"/>
      <c r="K25" s="5"/>
      <c r="L25" s="5"/>
      <c r="M25" s="5"/>
      <c r="N25" s="5"/>
      <c r="O25" s="9"/>
    </row>
    <row r="26" spans="1:15" ht="17.25" thickBot="1" x14ac:dyDescent="0.35">
      <c r="A26" s="104" t="s">
        <v>24</v>
      </c>
      <c r="B26" s="33" t="s">
        <v>23</v>
      </c>
      <c r="C26" s="33">
        <v>10</v>
      </c>
      <c r="D26" s="44">
        <f>('STDs and Samples'!I43)</f>
        <v>0.44687341748662823</v>
      </c>
      <c r="E26" s="44">
        <f>('STDs and Samples'!J43)</f>
        <v>3699.6663299860893</v>
      </c>
      <c r="F26" s="44"/>
      <c r="G26" s="44"/>
      <c r="H26" s="44"/>
      <c r="I26" s="44"/>
      <c r="J26" s="44"/>
      <c r="K26" s="44"/>
      <c r="L26" s="44"/>
      <c r="M26" s="44"/>
      <c r="N26" s="44"/>
      <c r="O26" s="103"/>
    </row>
    <row r="27" spans="1:15" ht="16.5" x14ac:dyDescent="0.3">
      <c r="A27" s="110" t="s">
        <v>24</v>
      </c>
      <c r="B27" s="107" t="s">
        <v>19</v>
      </c>
      <c r="C27" s="107">
        <v>20</v>
      </c>
      <c r="D27" s="107">
        <f>('STDs and Samples'!I28)</f>
        <v>-0.51224443443769008</v>
      </c>
      <c r="E27" s="107">
        <f>('STDs and Samples'!J28)</f>
        <v>10221.519934425945</v>
      </c>
      <c r="F27" s="107"/>
      <c r="G27" s="107"/>
      <c r="H27" s="107"/>
      <c r="I27" s="108"/>
      <c r="J27" s="108">
        <f>AVERAGE(D27:D31)</f>
        <v>-0.41868150929078707</v>
      </c>
      <c r="K27" s="108">
        <f>STDEV(D27:D31)</f>
        <v>7.3322232957784075E-2</v>
      </c>
      <c r="L27" s="108">
        <f>K27/SQRT(5)</f>
        <v>3.2790699431136133E-2</v>
      </c>
      <c r="M27" s="108">
        <f>AVERAGE(E27:E31)</f>
        <v>10902.84698194118</v>
      </c>
      <c r="N27" s="108">
        <f>STDEV(E27:E31)</f>
        <v>2047.8891755309767</v>
      </c>
      <c r="O27" s="109">
        <f>N27/SQRT(5)</f>
        <v>915.84388137465248</v>
      </c>
    </row>
    <row r="28" spans="1:15" ht="16.5" x14ac:dyDescent="0.3">
      <c r="A28" s="97" t="s">
        <v>24</v>
      </c>
      <c r="B28" s="94" t="s">
        <v>20</v>
      </c>
      <c r="C28" s="94">
        <v>20</v>
      </c>
      <c r="D28" s="95">
        <f>('STDs and Samples'!I32)</f>
        <v>-0.46135246678456299</v>
      </c>
      <c r="E28" s="95">
        <f>('STDs and Samples'!J32)</f>
        <v>13462.52058450097</v>
      </c>
      <c r="F28" s="95"/>
      <c r="G28" s="95"/>
      <c r="H28" s="95"/>
      <c r="I28" s="95"/>
      <c r="J28" s="95"/>
      <c r="K28" s="95"/>
      <c r="L28" s="95"/>
      <c r="M28" s="95"/>
      <c r="N28" s="95"/>
      <c r="O28" s="96"/>
    </row>
    <row r="29" spans="1:15" ht="16.5" x14ac:dyDescent="0.3">
      <c r="A29" s="97" t="s">
        <v>24</v>
      </c>
      <c r="B29" s="94" t="s">
        <v>21</v>
      </c>
      <c r="C29" s="94">
        <v>20</v>
      </c>
      <c r="D29" s="95">
        <f>('STDs and Samples'!I36)</f>
        <v>-0.38305713193359825</v>
      </c>
      <c r="E29" s="95">
        <f>('STDs and Samples'!J36)</f>
        <v>8984.1944652999864</v>
      </c>
      <c r="F29" s="95"/>
      <c r="G29" s="95"/>
      <c r="H29" s="95"/>
      <c r="I29" s="95"/>
      <c r="J29" s="95"/>
      <c r="K29" s="95"/>
      <c r="L29" s="95"/>
      <c r="M29" s="95"/>
      <c r="N29" s="95"/>
      <c r="O29" s="96"/>
    </row>
    <row r="30" spans="1:15" ht="16.5" x14ac:dyDescent="0.3">
      <c r="A30" s="97" t="s">
        <v>24</v>
      </c>
      <c r="B30" s="94" t="s">
        <v>22</v>
      </c>
      <c r="C30" s="94">
        <v>20</v>
      </c>
      <c r="D30" s="95">
        <f>('STDs and Samples'!I40)</f>
        <v>-0.41633264924525826</v>
      </c>
      <c r="E30" s="95">
        <f>('STDs and Samples'!J40)</f>
        <v>12666.161607399392</v>
      </c>
      <c r="F30" s="95"/>
      <c r="G30" s="95"/>
      <c r="H30" s="95"/>
      <c r="I30" s="95"/>
      <c r="J30" s="95"/>
      <c r="K30" s="95"/>
      <c r="L30" s="95"/>
      <c r="M30" s="95"/>
      <c r="N30" s="95"/>
      <c r="O30" s="96"/>
    </row>
    <row r="31" spans="1:15" ht="17.25" thickBot="1" x14ac:dyDescent="0.35">
      <c r="A31" s="111" t="s">
        <v>24</v>
      </c>
      <c r="B31" s="99" t="s">
        <v>23</v>
      </c>
      <c r="C31" s="99">
        <v>20</v>
      </c>
      <c r="D31" s="100">
        <f>('STDs and Samples'!I44)</f>
        <v>-0.32042086405282633</v>
      </c>
      <c r="E31" s="100">
        <f>('STDs and Samples'!J44)</f>
        <v>9179.83831807961</v>
      </c>
      <c r="F31" s="100"/>
      <c r="G31" s="100"/>
      <c r="H31" s="100"/>
      <c r="I31" s="100"/>
      <c r="J31" s="100"/>
      <c r="K31" s="100"/>
      <c r="L31" s="100"/>
      <c r="M31" s="100"/>
      <c r="N31" s="100"/>
      <c r="O31" s="101"/>
    </row>
    <row r="32" spans="1:15" ht="16.5" x14ac:dyDescent="0.3">
      <c r="A32" s="105" t="s">
        <v>24</v>
      </c>
      <c r="B32" s="57" t="s">
        <v>19</v>
      </c>
      <c r="C32" s="57">
        <v>35</v>
      </c>
      <c r="D32" s="57">
        <f>('STDs and Samples'!I29)</f>
        <v>-0.46135246678456299</v>
      </c>
      <c r="E32" s="57">
        <f>('STDs and Samples'!J29)</f>
        <v>12998.366243636585</v>
      </c>
      <c r="F32" s="57"/>
      <c r="G32" s="57"/>
      <c r="H32" s="57"/>
      <c r="I32" s="4"/>
      <c r="J32" s="4">
        <f>AVERAGE(D32:D36)</f>
        <v>-0.52868645475639264</v>
      </c>
      <c r="K32" s="4">
        <f>STDEV(D32:D36)</f>
        <v>7.9069566703510882E-2</v>
      </c>
      <c r="L32" s="4">
        <f>K32/SQRT(5)</f>
        <v>3.5360985220100859E-2</v>
      </c>
      <c r="M32" s="4">
        <f>AVERAGE(E32:E36)</f>
        <v>14383.017750997524</v>
      </c>
      <c r="N32" s="4">
        <f>STDEV(E32:E36)</f>
        <v>3576.6202036312879</v>
      </c>
      <c r="O32" s="7">
        <f>N32/SQRT(5)</f>
        <v>1599.5131810037399</v>
      </c>
    </row>
    <row r="33" spans="1:15" ht="16.5" x14ac:dyDescent="0.3">
      <c r="A33" s="84" t="s">
        <v>24</v>
      </c>
      <c r="B33" s="14" t="s">
        <v>20</v>
      </c>
      <c r="C33" s="14">
        <v>35</v>
      </c>
      <c r="D33" s="5">
        <f>('STDs and Samples'!I33)</f>
        <v>-0.62773005334286314</v>
      </c>
      <c r="E33" s="5">
        <f>('STDs and Samples'!J33)</f>
        <v>20440.084543437199</v>
      </c>
      <c r="F33" s="5"/>
      <c r="G33" s="5"/>
      <c r="H33" s="5"/>
      <c r="I33" s="5"/>
      <c r="J33" s="5"/>
      <c r="K33" s="5"/>
      <c r="L33" s="5"/>
      <c r="M33" s="5"/>
      <c r="N33" s="5"/>
      <c r="O33" s="9"/>
    </row>
    <row r="34" spans="1:15" ht="16.5" x14ac:dyDescent="0.3">
      <c r="A34" s="84" t="s">
        <v>24</v>
      </c>
      <c r="B34" s="14" t="s">
        <v>21</v>
      </c>
      <c r="C34" s="14">
        <v>35</v>
      </c>
      <c r="D34" s="5">
        <f>('STDs and Samples'!I37)</f>
        <v>-0.60032668614502549</v>
      </c>
      <c r="E34" s="5">
        <f>('STDs and Samples'!J37)</f>
        <v>14037.30770362232</v>
      </c>
      <c r="F34" s="5"/>
      <c r="G34" s="5"/>
      <c r="H34" s="5"/>
      <c r="I34" s="5"/>
      <c r="J34" s="5"/>
      <c r="K34" s="5"/>
      <c r="L34" s="5"/>
      <c r="M34" s="5"/>
      <c r="N34" s="5"/>
      <c r="O34" s="9"/>
    </row>
    <row r="35" spans="1:15" ht="16.5" x14ac:dyDescent="0.3">
      <c r="A35" s="84" t="s">
        <v>24</v>
      </c>
      <c r="B35" s="14" t="s">
        <v>22</v>
      </c>
      <c r="C35" s="14">
        <v>35</v>
      </c>
      <c r="D35" s="5">
        <f>('STDs and Samples'!I41)</f>
        <v>-0.46722461689838535</v>
      </c>
      <c r="E35" s="5">
        <f>('STDs and Samples'!J41)</f>
        <v>13461.402998069909</v>
      </c>
      <c r="F35" s="5"/>
      <c r="G35" s="5"/>
      <c r="H35" s="5"/>
      <c r="I35" s="5"/>
      <c r="J35" s="5"/>
      <c r="K35" s="5"/>
      <c r="L35" s="5"/>
      <c r="M35" s="5"/>
      <c r="N35" s="5"/>
      <c r="O35" s="9"/>
    </row>
    <row r="36" spans="1:15" ht="17.25" thickBot="1" x14ac:dyDescent="0.35">
      <c r="A36" s="104" t="s">
        <v>24</v>
      </c>
      <c r="B36" s="33" t="s">
        <v>23</v>
      </c>
      <c r="C36" s="33">
        <v>35</v>
      </c>
      <c r="D36" s="44">
        <f>('STDs and Samples'!I45)</f>
        <v>-0.48679845061112659</v>
      </c>
      <c r="E36" s="44">
        <f>('STDs and Samples'!J45)</f>
        <v>10977.927266221615</v>
      </c>
      <c r="F36" s="44"/>
      <c r="G36" s="44"/>
      <c r="H36" s="44"/>
      <c r="I36" s="44"/>
      <c r="J36" s="44"/>
      <c r="K36" s="44"/>
      <c r="L36" s="44"/>
      <c r="M36" s="44"/>
      <c r="N36" s="44"/>
      <c r="O36" s="103"/>
    </row>
    <row r="37" spans="1:15" ht="16.5" x14ac:dyDescent="0.3">
      <c r="A37" s="110" t="s">
        <v>24</v>
      </c>
      <c r="B37" s="107" t="s">
        <v>19</v>
      </c>
      <c r="C37" s="107">
        <v>50</v>
      </c>
      <c r="D37" s="107">
        <f>('STDs and Samples'!I30)</f>
        <v>-0.71972707179274675</v>
      </c>
      <c r="E37" s="107">
        <f>('STDs and Samples'!J30)</f>
        <v>25203.469708320641</v>
      </c>
      <c r="F37" s="107"/>
      <c r="G37" s="107"/>
      <c r="H37" s="107"/>
      <c r="I37" s="108"/>
      <c r="J37" s="108">
        <f>AVERAGE(D37:D41)</f>
        <v>-0.69388961129192839</v>
      </c>
      <c r="K37" s="108">
        <f>STDEV(D37:D41)</f>
        <v>0.11033983787093193</v>
      </c>
      <c r="L37" s="108">
        <f>K37/SQRT(5)</f>
        <v>4.9345475621141895E-2</v>
      </c>
      <c r="M37" s="108">
        <f>AVERAGE(E37:E41)</f>
        <v>23468.177527819014</v>
      </c>
      <c r="N37" s="108">
        <f>STDEV(E37:E41)</f>
        <v>3117.2175129870789</v>
      </c>
      <c r="O37" s="109">
        <f>N37/SQRT(5)</f>
        <v>1394.0620519383883</v>
      </c>
    </row>
    <row r="38" spans="1:15" ht="16.5" x14ac:dyDescent="0.3">
      <c r="A38" s="97" t="s">
        <v>24</v>
      </c>
      <c r="B38" s="94" t="s">
        <v>20</v>
      </c>
      <c r="C38" s="94">
        <v>50</v>
      </c>
      <c r="D38" s="95">
        <f>('STDs and Samples'!I34)</f>
        <v>-0.77061903944587384</v>
      </c>
      <c r="E38" s="95">
        <f>('STDs and Samples'!J34)</f>
        <v>27676.605696077124</v>
      </c>
      <c r="F38" s="95"/>
      <c r="G38" s="95"/>
      <c r="H38" s="95"/>
      <c r="I38" s="95"/>
      <c r="J38" s="95"/>
      <c r="K38" s="95"/>
      <c r="L38" s="95"/>
      <c r="M38" s="95"/>
      <c r="N38" s="95"/>
      <c r="O38" s="96"/>
    </row>
    <row r="39" spans="1:15" ht="16.5" x14ac:dyDescent="0.3">
      <c r="A39" s="97" t="s">
        <v>24</v>
      </c>
      <c r="B39" s="94" t="s">
        <v>21</v>
      </c>
      <c r="C39" s="94">
        <v>50</v>
      </c>
      <c r="D39" s="95">
        <f>('STDs and Samples'!I38)</f>
        <v>-0.75691735584695496</v>
      </c>
      <c r="E39" s="95">
        <f>('STDs and Samples'!J38)</f>
        <v>23464.579727352804</v>
      </c>
      <c r="F39" s="95"/>
      <c r="G39" s="95"/>
      <c r="H39" s="95"/>
      <c r="I39" s="95"/>
      <c r="J39" s="95"/>
      <c r="K39" s="95"/>
      <c r="L39" s="95"/>
      <c r="M39" s="95"/>
      <c r="N39" s="95"/>
      <c r="O39" s="96"/>
    </row>
    <row r="40" spans="1:15" ht="16.5" x14ac:dyDescent="0.3">
      <c r="A40" s="97" t="s">
        <v>24</v>
      </c>
      <c r="B40" s="94" t="s">
        <v>22</v>
      </c>
      <c r="C40" s="94">
        <v>50</v>
      </c>
      <c r="D40" s="95">
        <f>('STDs and Samples'!I42)</f>
        <v>-0.50050013421004536</v>
      </c>
      <c r="E40" s="95">
        <f>('STDs and Samples'!J42)</f>
        <v>19996.353059798192</v>
      </c>
      <c r="F40" s="95"/>
      <c r="G40" s="95"/>
      <c r="H40" s="95"/>
      <c r="I40" s="95"/>
      <c r="J40" s="95"/>
      <c r="K40" s="95"/>
      <c r="L40" s="95"/>
      <c r="M40" s="95"/>
      <c r="N40" s="95"/>
      <c r="O40" s="96"/>
    </row>
    <row r="41" spans="1:15" ht="17.25" thickBot="1" x14ac:dyDescent="0.35">
      <c r="A41" s="111" t="s">
        <v>24</v>
      </c>
      <c r="B41" s="99" t="s">
        <v>23</v>
      </c>
      <c r="C41" s="99">
        <v>50</v>
      </c>
      <c r="D41" s="100">
        <f>('STDs and Samples'!I46)</f>
        <v>-0.7216844551640208</v>
      </c>
      <c r="E41" s="100">
        <f>('STDs and Samples'!J46)</f>
        <v>20999.879447546326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1"/>
    </row>
    <row r="42" spans="1:15" ht="16.5" x14ac:dyDescent="0.3">
      <c r="A42" s="85" t="s">
        <v>25</v>
      </c>
      <c r="B42" s="57" t="s">
        <v>19</v>
      </c>
      <c r="C42" s="57">
        <v>10</v>
      </c>
      <c r="D42" s="4">
        <f>('STDs and Samples'!I47)</f>
        <v>0.21785956304755638</v>
      </c>
      <c r="E42" s="4">
        <f>('STDs and Samples'!J47)</f>
        <v>2950.204590899009</v>
      </c>
      <c r="F42" s="4"/>
      <c r="G42" s="4"/>
      <c r="H42" s="4"/>
      <c r="I42" s="4"/>
      <c r="J42" s="4">
        <f>AVERAGE(D42:D46)</f>
        <v>0.10589723421067676</v>
      </c>
      <c r="K42" s="4">
        <f>STDEV(D42:D46)</f>
        <v>0.18369393769094081</v>
      </c>
      <c r="L42" s="4">
        <f>K42/SQRT(5)</f>
        <v>8.2150426346310881E-2</v>
      </c>
      <c r="M42" s="4">
        <f>AVERAGE(E42:E46)</f>
        <v>6552.0747274052201</v>
      </c>
      <c r="N42" s="4">
        <f>STDEV(E42:E46)</f>
        <v>3011.1746494942868</v>
      </c>
      <c r="O42" s="7">
        <f>N42/SQRT(5)</f>
        <v>1346.6382416786655</v>
      </c>
    </row>
    <row r="43" spans="1:15" ht="16.5" x14ac:dyDescent="0.3">
      <c r="A43" s="83" t="s">
        <v>25</v>
      </c>
      <c r="B43" s="14" t="s">
        <v>20</v>
      </c>
      <c r="C43" s="14">
        <v>10</v>
      </c>
      <c r="D43" s="5">
        <f>('STDs and Samples'!I51)</f>
        <v>3.7780292890337464E-2</v>
      </c>
      <c r="E43" s="5">
        <f>('STDs and Samples'!J51)</f>
        <v>7842.8324177210761</v>
      </c>
      <c r="F43" s="5"/>
      <c r="G43" s="5"/>
      <c r="H43" s="5"/>
      <c r="I43" s="5"/>
      <c r="J43" s="5"/>
      <c r="K43" s="5"/>
      <c r="L43" s="5"/>
      <c r="M43" s="5"/>
      <c r="N43" s="5"/>
      <c r="O43" s="9"/>
    </row>
    <row r="44" spans="1:15" ht="16.5" x14ac:dyDescent="0.3">
      <c r="A44" s="83" t="s">
        <v>25</v>
      </c>
      <c r="B44" s="14" t="s">
        <v>21</v>
      </c>
      <c r="C44" s="14">
        <v>10</v>
      </c>
      <c r="D44" s="5">
        <f>('STDs and Samples'!I55)</f>
        <v>0.17479712887952581</v>
      </c>
      <c r="E44" s="5">
        <f>('STDs and Samples'!J55)</f>
        <v>8488.2344424494258</v>
      </c>
      <c r="F44" s="5"/>
      <c r="G44" s="5"/>
      <c r="H44" s="5"/>
      <c r="I44" s="5"/>
      <c r="J44" s="5"/>
      <c r="K44" s="5"/>
      <c r="L44" s="5"/>
      <c r="M44" s="5"/>
      <c r="N44" s="5"/>
      <c r="O44" s="9"/>
    </row>
    <row r="45" spans="1:15" ht="16.5" x14ac:dyDescent="0.3">
      <c r="A45" s="83" t="s">
        <v>25</v>
      </c>
      <c r="B45" s="14" t="s">
        <v>22</v>
      </c>
      <c r="C45" s="14">
        <v>10</v>
      </c>
      <c r="D45" s="5">
        <f>('STDs and Samples'!I59)</f>
        <v>0.28049583092832808</v>
      </c>
      <c r="E45" s="5">
        <f>('STDs and Samples'!J59)</f>
        <v>3755.413196850981</v>
      </c>
      <c r="F45" s="5"/>
      <c r="G45" s="5"/>
      <c r="H45" s="5"/>
      <c r="I45" s="5"/>
      <c r="J45" s="5"/>
      <c r="K45" s="5"/>
      <c r="L45" s="5"/>
      <c r="M45" s="5"/>
      <c r="N45" s="5"/>
      <c r="O45" s="9"/>
    </row>
    <row r="46" spans="1:15" ht="17.25" thickBot="1" x14ac:dyDescent="0.35">
      <c r="A46" s="102" t="s">
        <v>25</v>
      </c>
      <c r="B46" s="33" t="s">
        <v>23</v>
      </c>
      <c r="C46" s="33">
        <v>10</v>
      </c>
      <c r="D46" s="44">
        <f>('STDs and Samples'!I63)</f>
        <v>-0.18144664469236393</v>
      </c>
      <c r="E46" s="44">
        <f>('STDs and Samples'!J63)</f>
        <v>9723.6889891056089</v>
      </c>
      <c r="F46" s="44"/>
      <c r="G46" s="44"/>
      <c r="H46" s="44"/>
      <c r="I46" s="44"/>
      <c r="J46" s="44"/>
      <c r="K46" s="44"/>
      <c r="L46" s="44"/>
      <c r="M46" s="44"/>
      <c r="N46" s="44"/>
      <c r="O46" s="103"/>
    </row>
    <row r="47" spans="1:15" ht="16.5" x14ac:dyDescent="0.3">
      <c r="A47" s="106" t="s">
        <v>25</v>
      </c>
      <c r="B47" s="107" t="s">
        <v>19</v>
      </c>
      <c r="C47" s="107">
        <v>20</v>
      </c>
      <c r="D47" s="108">
        <f>('STDs and Samples'!I48)</f>
        <v>-0.47505415038348187</v>
      </c>
      <c r="E47" s="108">
        <f>('STDs and Samples'!J48)</f>
        <v>11682.08122355171</v>
      </c>
      <c r="F47" s="108"/>
      <c r="G47" s="108"/>
      <c r="H47" s="108"/>
      <c r="I47" s="108"/>
      <c r="J47" s="108">
        <f>AVERAGE(D47:D51)</f>
        <v>-0.55922163534826885</v>
      </c>
      <c r="K47" s="108">
        <f>STDEV(D47:D51)</f>
        <v>0.14469419556003782</v>
      </c>
      <c r="L47" s="108">
        <f>K47/SQRT(5)</f>
        <v>6.4709211444378564E-2</v>
      </c>
      <c r="M47" s="108">
        <f>AVERAGE(E47:E51)</f>
        <v>14182.18664149418</v>
      </c>
      <c r="N47" s="108">
        <f>STDEV(E47:E51)</f>
        <v>4490.1098221150651</v>
      </c>
      <c r="O47" s="109">
        <f>N47/SQRT(5)</f>
        <v>2008.0381577377548</v>
      </c>
    </row>
    <row r="48" spans="1:15" ht="16.5" x14ac:dyDescent="0.3">
      <c r="A48" s="93" t="s">
        <v>25</v>
      </c>
      <c r="B48" s="94" t="s">
        <v>20</v>
      </c>
      <c r="C48" s="94">
        <v>20</v>
      </c>
      <c r="D48" s="95">
        <f>('STDs and Samples'!I52)</f>
        <v>-0.38697189867614645</v>
      </c>
      <c r="E48" s="95">
        <f>('STDs and Samples'!J52)</f>
        <v>13373.287516794306</v>
      </c>
      <c r="F48" s="95"/>
      <c r="G48" s="95"/>
      <c r="H48" s="95"/>
      <c r="I48" s="95"/>
      <c r="J48" s="95"/>
      <c r="K48" s="95"/>
      <c r="L48" s="95"/>
      <c r="M48" s="95"/>
      <c r="N48" s="95"/>
      <c r="O48" s="96"/>
    </row>
    <row r="49" spans="1:15" ht="16.5" x14ac:dyDescent="0.3">
      <c r="A49" s="93" t="s">
        <v>25</v>
      </c>
      <c r="B49" s="94" t="s">
        <v>21</v>
      </c>
      <c r="C49" s="94">
        <v>20</v>
      </c>
      <c r="D49" s="95">
        <f>('STDs and Samples'!I56)</f>
        <v>-0.74517305561931024</v>
      </c>
      <c r="E49" s="95">
        <f>('STDs and Samples'!J56)</f>
        <v>21618.997495099738</v>
      </c>
      <c r="F49" s="95"/>
      <c r="G49" s="95"/>
      <c r="H49" s="95"/>
      <c r="I49" s="95"/>
      <c r="J49" s="95"/>
      <c r="K49" s="95"/>
      <c r="L49" s="95"/>
      <c r="M49" s="95"/>
      <c r="N49" s="95"/>
      <c r="O49" s="96"/>
    </row>
    <row r="50" spans="1:15" ht="16.5" x14ac:dyDescent="0.3">
      <c r="A50" s="93" t="s">
        <v>25</v>
      </c>
      <c r="B50" s="94" t="s">
        <v>22</v>
      </c>
      <c r="C50" s="94">
        <v>20</v>
      </c>
      <c r="D50" s="95">
        <f>('STDs and Samples'!I60)</f>
        <v>-0.5239887346653348</v>
      </c>
      <c r="E50" s="95">
        <f>('STDs and Samples'!J60)</f>
        <v>9891.8567725171652</v>
      </c>
      <c r="F50" s="95"/>
      <c r="G50" s="95"/>
      <c r="H50" s="95"/>
      <c r="I50" s="95"/>
      <c r="J50" s="95"/>
      <c r="K50" s="95"/>
      <c r="L50" s="95"/>
      <c r="M50" s="95"/>
      <c r="N50" s="95"/>
      <c r="O50" s="96"/>
    </row>
    <row r="51" spans="1:15" ht="17.25" thickBot="1" x14ac:dyDescent="0.35">
      <c r="A51" s="98" t="s">
        <v>25</v>
      </c>
      <c r="B51" s="99" t="s">
        <v>23</v>
      </c>
      <c r="C51" s="99">
        <v>20</v>
      </c>
      <c r="D51" s="100">
        <f>('STDs and Samples'!I64)</f>
        <v>-0.66492033739707135</v>
      </c>
      <c r="E51" s="100">
        <f>('STDs and Samples'!J64)</f>
        <v>14344.710199507979</v>
      </c>
      <c r="F51" s="100"/>
      <c r="G51" s="100"/>
      <c r="H51" s="100"/>
      <c r="I51" s="100"/>
      <c r="J51" s="100"/>
      <c r="K51" s="100"/>
      <c r="L51" s="100"/>
      <c r="M51" s="100"/>
      <c r="N51" s="100"/>
      <c r="O51" s="101"/>
    </row>
    <row r="52" spans="1:15" ht="16.5" x14ac:dyDescent="0.3">
      <c r="A52" s="85" t="s">
        <v>25</v>
      </c>
      <c r="B52" s="57" t="s">
        <v>19</v>
      </c>
      <c r="C52" s="57">
        <v>35</v>
      </c>
      <c r="D52" s="4">
        <f>('STDs and Samples'!I49)</f>
        <v>-0.66492033739707135</v>
      </c>
      <c r="E52" s="4">
        <f>('STDs and Samples'!J49)</f>
        <v>15372.980778681591</v>
      </c>
      <c r="F52" s="4"/>
      <c r="G52" s="4"/>
      <c r="H52" s="4"/>
      <c r="I52" s="4"/>
      <c r="J52" s="4">
        <f>AVERAGE(D52:D56)</f>
        <v>-0.68253678773853843</v>
      </c>
      <c r="K52" s="4">
        <f>STDEV(D52:D56)</f>
        <v>0.10041968089350652</v>
      </c>
      <c r="L52" s="4">
        <f>K52/SQRT(5)</f>
        <v>4.4909046551343479E-2</v>
      </c>
      <c r="M52" s="4">
        <f>AVERAGE(E52:E56)</f>
        <v>19222.589196807254</v>
      </c>
      <c r="N52" s="4">
        <f>STDEV(E52:E56)</f>
        <v>4986.4269708890042</v>
      </c>
      <c r="O52" s="7">
        <f>N52/SQRT(5)</f>
        <v>2229.9979343492355</v>
      </c>
    </row>
    <row r="53" spans="1:15" ht="16.5" x14ac:dyDescent="0.3">
      <c r="A53" s="83" t="s">
        <v>25</v>
      </c>
      <c r="B53" s="14" t="s">
        <v>20</v>
      </c>
      <c r="C53" s="14">
        <v>35</v>
      </c>
      <c r="D53" s="5">
        <f>('STDs and Samples'!I53)</f>
        <v>-0.62577266997158898</v>
      </c>
      <c r="E53" s="5">
        <f>('STDs and Samples'!J53)</f>
        <v>19003.356819756049</v>
      </c>
      <c r="F53" s="5"/>
      <c r="G53" s="5"/>
      <c r="H53" s="5"/>
      <c r="I53" s="5"/>
      <c r="J53" s="5"/>
      <c r="K53" s="5"/>
      <c r="L53" s="5"/>
      <c r="M53" s="5"/>
      <c r="N53" s="5"/>
      <c r="O53" s="9"/>
    </row>
    <row r="54" spans="1:15" ht="16.5" x14ac:dyDescent="0.3">
      <c r="A54" s="83" t="s">
        <v>25</v>
      </c>
      <c r="B54" s="14" t="s">
        <v>21</v>
      </c>
      <c r="C54" s="14">
        <v>35</v>
      </c>
      <c r="D54" s="5">
        <f>('STDs and Samples'!I57)</f>
        <v>-0.59053976928865481</v>
      </c>
      <c r="E54" s="5">
        <f>('STDs and Samples'!J57)</f>
        <v>19927.68358242304</v>
      </c>
      <c r="F54" s="5"/>
      <c r="G54" s="5"/>
      <c r="H54" s="5"/>
      <c r="I54" s="5"/>
      <c r="J54" s="5"/>
      <c r="K54" s="5"/>
      <c r="L54" s="5"/>
      <c r="M54" s="5"/>
      <c r="N54" s="5"/>
      <c r="O54" s="9"/>
    </row>
    <row r="55" spans="1:15" ht="16.5" x14ac:dyDescent="0.3">
      <c r="A55" s="83" t="s">
        <v>25</v>
      </c>
      <c r="B55" s="14" t="s">
        <v>22</v>
      </c>
      <c r="C55" s="14">
        <v>35</v>
      </c>
      <c r="D55" s="5">
        <f>('STDs and Samples'!I61)</f>
        <v>-0.68057940436726438</v>
      </c>
      <c r="E55" s="5">
        <f>('STDs and Samples'!J61)</f>
        <v>14642.046139096088</v>
      </c>
      <c r="F55" s="5"/>
      <c r="G55" s="5"/>
      <c r="H55" s="5"/>
      <c r="I55" s="5"/>
      <c r="J55" s="5"/>
      <c r="K55" s="5"/>
      <c r="L55" s="5"/>
      <c r="M55" s="5"/>
      <c r="N55" s="5"/>
      <c r="O55" s="9"/>
    </row>
    <row r="56" spans="1:15" ht="17.25" thickBot="1" x14ac:dyDescent="0.35">
      <c r="A56" s="102" t="s">
        <v>25</v>
      </c>
      <c r="B56" s="33" t="s">
        <v>23</v>
      </c>
      <c r="C56" s="33">
        <v>35</v>
      </c>
      <c r="D56" s="44">
        <f>('STDs and Samples'!I65)</f>
        <v>-0.85087175766811263</v>
      </c>
      <c r="E56" s="44">
        <f>('STDs and Samples'!J65)</f>
        <v>27166.878664079501</v>
      </c>
      <c r="F56" s="44"/>
      <c r="G56" s="44"/>
      <c r="H56" s="44"/>
      <c r="I56" s="44"/>
      <c r="J56" s="44"/>
      <c r="K56" s="44"/>
      <c r="L56" s="44"/>
      <c r="M56" s="44"/>
      <c r="N56" s="44"/>
      <c r="O56" s="103"/>
    </row>
    <row r="57" spans="1:15" ht="16.5" x14ac:dyDescent="0.3">
      <c r="A57" s="106" t="s">
        <v>25</v>
      </c>
      <c r="B57" s="107" t="s">
        <v>19</v>
      </c>
      <c r="C57" s="107">
        <v>50</v>
      </c>
      <c r="D57" s="108">
        <f>('STDs and Samples'!I50)</f>
        <v>-0.83717007406919386</v>
      </c>
      <c r="E57" s="108">
        <f>('STDs and Samples'!J50)</f>
        <v>28793.09109754243</v>
      </c>
      <c r="F57" s="108"/>
      <c r="G57" s="108"/>
      <c r="H57" s="108"/>
      <c r="I57" s="108"/>
      <c r="J57" s="108">
        <f>AVERAGE(D57:D61)</f>
        <v>-0.73538613876293968</v>
      </c>
      <c r="K57" s="108">
        <f>STDEV(D57:D61)</f>
        <v>0.13577385204592418</v>
      </c>
      <c r="L57" s="108">
        <f>K57/SQRT(5)</f>
        <v>6.0719912548337071E-2</v>
      </c>
      <c r="M57" s="108">
        <f>AVERAGE(E57:E61)</f>
        <v>26142.454237912338</v>
      </c>
      <c r="N57" s="108">
        <f>STDEV(E57:E61)</f>
        <v>8535.5518292674806</v>
      </c>
      <c r="O57" s="109">
        <f>N57/SQRT(5)</f>
        <v>3817.2148231429528</v>
      </c>
    </row>
    <row r="58" spans="1:15" ht="16.5" x14ac:dyDescent="0.3">
      <c r="A58" s="93" t="s">
        <v>25</v>
      </c>
      <c r="B58" s="94" t="s">
        <v>20</v>
      </c>
      <c r="C58" s="94">
        <v>50</v>
      </c>
      <c r="D58" s="95">
        <f>('STDs and Samples'!I54)</f>
        <v>-0.4985427508387712</v>
      </c>
      <c r="E58" s="95">
        <f>('STDs and Samples'!J54)</f>
        <v>18067.705181254314</v>
      </c>
      <c r="F58" s="95"/>
      <c r="G58" s="95"/>
      <c r="H58" s="95"/>
      <c r="I58" s="95"/>
      <c r="J58" s="95"/>
      <c r="K58" s="95"/>
      <c r="L58" s="95"/>
      <c r="M58" s="95"/>
      <c r="N58" s="95"/>
      <c r="O58" s="96"/>
    </row>
    <row r="59" spans="1:15" ht="16.5" x14ac:dyDescent="0.3">
      <c r="A59" s="93" t="s">
        <v>25</v>
      </c>
      <c r="B59" s="94" t="s">
        <v>21</v>
      </c>
      <c r="C59" s="94">
        <v>50</v>
      </c>
      <c r="D59" s="95">
        <f>('STDs and Samples'!I58)</f>
        <v>-0.75495997247568081</v>
      </c>
      <c r="E59" s="95">
        <f>('STDs and Samples'!J58)</f>
        <v>37951.546331721867</v>
      </c>
      <c r="F59" s="95"/>
      <c r="G59" s="95"/>
      <c r="H59" s="95"/>
      <c r="I59" s="95"/>
      <c r="J59" s="95"/>
      <c r="K59" s="95"/>
      <c r="L59" s="95"/>
      <c r="M59" s="95"/>
      <c r="N59" s="95"/>
      <c r="O59" s="96"/>
    </row>
    <row r="60" spans="1:15" ht="16.5" x14ac:dyDescent="0.3">
      <c r="A60" s="93" t="s">
        <v>25</v>
      </c>
      <c r="B60" s="94" t="s">
        <v>22</v>
      </c>
      <c r="C60" s="94">
        <v>50</v>
      </c>
      <c r="D60" s="95">
        <f>('STDs and Samples'!I62)</f>
        <v>-0.80389455675753385</v>
      </c>
      <c r="E60" s="95">
        <f>('STDs and Samples'!J62)</f>
        <v>17502.189890301757</v>
      </c>
      <c r="F60" s="95"/>
      <c r="G60" s="95"/>
      <c r="H60" s="95"/>
      <c r="I60" s="95"/>
      <c r="J60" s="95"/>
      <c r="K60" s="95"/>
      <c r="L60" s="95"/>
      <c r="M60" s="95"/>
      <c r="N60" s="95"/>
      <c r="O60" s="96"/>
    </row>
    <row r="61" spans="1:15" ht="17.25" thickBot="1" x14ac:dyDescent="0.35">
      <c r="A61" s="98" t="s">
        <v>25</v>
      </c>
      <c r="B61" s="99" t="s">
        <v>23</v>
      </c>
      <c r="C61" s="99">
        <v>50</v>
      </c>
      <c r="D61" s="100">
        <f>('STDs and Samples'!I66)</f>
        <v>-0.78236333967351857</v>
      </c>
      <c r="E61" s="100">
        <f>('STDs and Samples'!J66)</f>
        <v>28397.738688741327</v>
      </c>
      <c r="F61" s="100"/>
      <c r="G61" s="100"/>
      <c r="H61" s="100"/>
      <c r="I61" s="100"/>
      <c r="J61" s="100"/>
      <c r="K61" s="100"/>
      <c r="L61" s="100"/>
      <c r="M61" s="100"/>
      <c r="N61" s="100"/>
      <c r="O61" s="101"/>
    </row>
    <row r="62" spans="1:15" ht="16.5" x14ac:dyDescent="0.3">
      <c r="A62" s="1"/>
      <c r="B62" s="1"/>
      <c r="C62" s="1"/>
      <c r="D62" s="1"/>
      <c r="E62" s="1"/>
      <c r="F62" s="1"/>
      <c r="G62" s="1"/>
      <c r="H62" s="1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Read, Zoe</cp:lastModifiedBy>
  <cp:lastPrinted>2021-07-14T18:10:05Z</cp:lastPrinted>
  <dcterms:created xsi:type="dcterms:W3CDTF">2014-08-19T17:33:21Z</dcterms:created>
  <dcterms:modified xsi:type="dcterms:W3CDTF">2026-10-13T16:26:43Z</dcterms:modified>
</cp:coreProperties>
</file>