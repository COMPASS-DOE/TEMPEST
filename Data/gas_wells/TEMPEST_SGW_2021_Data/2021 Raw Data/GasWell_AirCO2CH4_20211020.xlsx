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\\Si-sercfs01\serc\Shared\Biogeochemistry\TEMPEST\Soil (GHG)\"/>
    </mc:Choice>
  </mc:AlternateContent>
  <xr:revisionPtr revIDLastSave="0" documentId="13_ncr:1_{FEAF0348-7039-4B4F-8B4C-B3787A34ECC4}" xr6:coauthVersionLast="46" xr6:coauthVersionMax="46" xr10:uidLastSave="{00000000-0000-0000-0000-000000000000}"/>
  <bookViews>
    <workbookView xWindow="28680" yWindow="-120" windowWidth="29040" windowHeight="17640" activeTab="1" xr2:uid="{00000000-000D-0000-FFFF-FFFF00000000}"/>
  </bookViews>
  <sheets>
    <sheet name="STDs and Samples" sheetId="1" r:id="rId1"/>
    <sheet name="Sheet1" sheetId="2" r:id="rId2"/>
  </sheets>
  <definedNames>
    <definedName name="_xlnm.Print_Titles" localSheetId="0">'STDs and Samples'!$2:$6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4" i="1" l="1"/>
  <c r="I45" i="1"/>
  <c r="I46" i="1"/>
  <c r="I47" i="1"/>
  <c r="I48" i="1"/>
  <c r="I49" i="1"/>
  <c r="I50" i="1"/>
  <c r="I51" i="1"/>
  <c r="I52" i="1"/>
  <c r="I53" i="1"/>
  <c r="I54" i="1"/>
  <c r="P42" i="1" l="1"/>
  <c r="P43" i="1"/>
  <c r="P41" i="1"/>
  <c r="O42" i="1"/>
  <c r="P29" i="1"/>
  <c r="O29" i="1"/>
  <c r="P8" i="1"/>
  <c r="O43" i="1" l="1"/>
  <c r="O41" i="1"/>
  <c r="O38" i="1"/>
  <c r="O14" i="1"/>
  <c r="P14" i="1"/>
  <c r="P11" i="1"/>
  <c r="P38" i="1" l="1"/>
  <c r="P35" i="1"/>
  <c r="O35" i="1"/>
  <c r="P32" i="1"/>
  <c r="O32" i="1"/>
  <c r="P26" i="1"/>
  <c r="O26" i="1"/>
  <c r="P20" i="1"/>
  <c r="O20" i="1"/>
  <c r="P17" i="1"/>
  <c r="O17" i="1"/>
  <c r="O11" i="1"/>
  <c r="O8" i="1"/>
  <c r="AA31" i="1" l="1"/>
  <c r="AA14" i="1"/>
  <c r="AA30" i="1"/>
  <c r="AA29" i="1"/>
  <c r="AA15" i="1"/>
  <c r="AA16" i="1"/>
  <c r="I7" i="1" l="1"/>
  <c r="D2" i="2" s="1"/>
  <c r="I25" i="1"/>
  <c r="D16" i="2" s="1"/>
  <c r="I19" i="1"/>
  <c r="D5" i="2" s="1"/>
  <c r="D47" i="2"/>
  <c r="I58" i="1"/>
  <c r="D59" i="2" s="1"/>
  <c r="I14" i="1"/>
  <c r="D18" i="2" s="1"/>
  <c r="I24" i="1"/>
  <c r="D11" i="2" s="1"/>
  <c r="I37" i="1"/>
  <c r="D34" i="2" s="1"/>
  <c r="I39" i="1"/>
  <c r="D25" i="2" s="1"/>
  <c r="I65" i="1"/>
  <c r="D56" i="2" s="1"/>
  <c r="I35" i="1"/>
  <c r="D24" i="2" s="1"/>
  <c r="I17" i="1"/>
  <c r="D14" i="2" s="1"/>
  <c r="I20" i="1"/>
  <c r="D10" i="2" s="1"/>
  <c r="I56" i="1"/>
  <c r="D49" i="2" s="1"/>
  <c r="D53" i="2"/>
  <c r="I55" i="1"/>
  <c r="D44" i="2" s="1"/>
  <c r="I62" i="1"/>
  <c r="D60" i="2" s="1"/>
  <c r="I42" i="1"/>
  <c r="D40" i="2" s="1"/>
  <c r="I29" i="1"/>
  <c r="D32" i="2" s="1"/>
  <c r="D52" i="2"/>
  <c r="I27" i="1"/>
  <c r="D22" i="2" s="1"/>
  <c r="I64" i="1"/>
  <c r="D51" i="2" s="1"/>
  <c r="I12" i="1"/>
  <c r="D8" i="2" s="1"/>
  <c r="I22" i="1"/>
  <c r="D20" i="2" s="1"/>
  <c r="I40" i="1"/>
  <c r="D30" i="2" s="1"/>
  <c r="D36" i="2"/>
  <c r="D42" i="2"/>
  <c r="I30" i="1"/>
  <c r="D37" i="2" s="1"/>
  <c r="I23" i="1"/>
  <c r="D6" i="2" s="1"/>
  <c r="I11" i="1"/>
  <c r="D3" i="2" s="1"/>
  <c r="I31" i="1"/>
  <c r="D23" i="2" s="1"/>
  <c r="I10" i="1"/>
  <c r="D17" i="2" s="1"/>
  <c r="I43" i="1"/>
  <c r="D26" i="2" s="1"/>
  <c r="I41" i="1"/>
  <c r="D35" i="2" s="1"/>
  <c r="I28" i="1"/>
  <c r="D27" i="2" s="1"/>
  <c r="I38" i="1"/>
  <c r="D39" i="2" s="1"/>
  <c r="I9" i="1"/>
  <c r="D12" i="2" s="1"/>
  <c r="I61" i="1"/>
  <c r="D55" i="2" s="1"/>
  <c r="I66" i="1"/>
  <c r="D61" i="2" s="1"/>
  <c r="I32" i="1"/>
  <c r="D28" i="2" s="1"/>
  <c r="I60" i="1"/>
  <c r="D50" i="2" s="1"/>
  <c r="I26" i="1"/>
  <c r="D21" i="2" s="1"/>
  <c r="D43" i="2"/>
  <c r="I57" i="1"/>
  <c r="D54" i="2" s="1"/>
  <c r="I36" i="1"/>
  <c r="D29" i="2" s="1"/>
  <c r="D41" i="2"/>
  <c r="I33" i="1"/>
  <c r="D33" i="2" s="1"/>
  <c r="D57" i="2"/>
  <c r="I59" i="1"/>
  <c r="D45" i="2" s="1"/>
  <c r="I18" i="1"/>
  <c r="D19" i="2" s="1"/>
  <c r="D31" i="2"/>
  <c r="D58" i="2"/>
  <c r="I13" i="1"/>
  <c r="D13" i="2" s="1"/>
  <c r="I15" i="1"/>
  <c r="D4" i="2" s="1"/>
  <c r="I16" i="1"/>
  <c r="D9" i="2" s="1"/>
  <c r="I34" i="1"/>
  <c r="D38" i="2" s="1"/>
  <c r="D48" i="2"/>
  <c r="I21" i="1"/>
  <c r="D15" i="2" s="1"/>
  <c r="I63" i="1"/>
  <c r="D46" i="2" s="1"/>
  <c r="I8" i="1"/>
  <c r="D7" i="2" s="1"/>
  <c r="J65" i="1"/>
  <c r="E56" i="2" s="1"/>
  <c r="J63" i="1"/>
  <c r="E46" i="2" s="1"/>
  <c r="J62" i="1"/>
  <c r="E60" i="2" s="1"/>
  <c r="J54" i="1"/>
  <c r="E58" i="2" s="1"/>
  <c r="J46" i="1"/>
  <c r="E41" i="2" s="1"/>
  <c r="J38" i="1"/>
  <c r="E39" i="2" s="1"/>
  <c r="J30" i="1"/>
  <c r="E37" i="2" s="1"/>
  <c r="J22" i="1"/>
  <c r="E20" i="2" s="1"/>
  <c r="J14" i="1"/>
  <c r="E18" i="2" s="1"/>
  <c r="J53" i="1"/>
  <c r="E53" i="2" s="1"/>
  <c r="J45" i="1"/>
  <c r="E36" i="2" s="1"/>
  <c r="J37" i="1"/>
  <c r="E34" i="2" s="1"/>
  <c r="J29" i="1"/>
  <c r="E32" i="2" s="1"/>
  <c r="J21" i="1"/>
  <c r="E15" i="2" s="1"/>
  <c r="J13" i="1"/>
  <c r="E13" i="2" s="1"/>
  <c r="J60" i="1"/>
  <c r="E50" i="2" s="1"/>
  <c r="J52" i="1"/>
  <c r="E48" i="2" s="1"/>
  <c r="J44" i="1"/>
  <c r="E31" i="2" s="1"/>
  <c r="J36" i="1"/>
  <c r="E29" i="2" s="1"/>
  <c r="J28" i="1"/>
  <c r="E27" i="2" s="1"/>
  <c r="J20" i="1"/>
  <c r="E10" i="2" s="1"/>
  <c r="J12" i="1"/>
  <c r="E8" i="2" s="1"/>
  <c r="J51" i="1"/>
  <c r="E43" i="2" s="1"/>
  <c r="J43" i="1"/>
  <c r="E26" i="2" s="1"/>
  <c r="J35" i="1"/>
  <c r="E24" i="2" s="1"/>
  <c r="J27" i="1"/>
  <c r="E22" i="2" s="1"/>
  <c r="J19" i="1"/>
  <c r="E5" i="2" s="1"/>
  <c r="J11" i="1"/>
  <c r="E3" i="2" s="1"/>
  <c r="J66" i="1"/>
  <c r="E61" i="2" s="1"/>
  <c r="J58" i="1"/>
  <c r="E59" i="2" s="1"/>
  <c r="J50" i="1"/>
  <c r="E57" i="2" s="1"/>
  <c r="J42" i="1"/>
  <c r="E40" i="2" s="1"/>
  <c r="J34" i="1"/>
  <c r="E38" i="2" s="1"/>
  <c r="J26" i="1"/>
  <c r="E21" i="2" s="1"/>
  <c r="J18" i="1"/>
  <c r="E19" i="2" s="1"/>
  <c r="J10" i="1"/>
  <c r="E17" i="2" s="1"/>
  <c r="J57" i="1"/>
  <c r="E54" i="2" s="1"/>
  <c r="J49" i="1"/>
  <c r="E52" i="2" s="1"/>
  <c r="J41" i="1"/>
  <c r="E35" i="2" s="1"/>
  <c r="J33" i="1"/>
  <c r="E33" i="2" s="1"/>
  <c r="J25" i="1"/>
  <c r="E16" i="2" s="1"/>
  <c r="J17" i="1"/>
  <c r="E14" i="2" s="1"/>
  <c r="J9" i="1"/>
  <c r="E12" i="2" s="1"/>
  <c r="J64" i="1"/>
  <c r="E51" i="2" s="1"/>
  <c r="J56" i="1"/>
  <c r="E49" i="2" s="1"/>
  <c r="J48" i="1"/>
  <c r="E47" i="2" s="1"/>
  <c r="J40" i="1"/>
  <c r="E30" i="2" s="1"/>
  <c r="J32" i="1"/>
  <c r="E28" i="2" s="1"/>
  <c r="J24" i="1"/>
  <c r="E11" i="2" s="1"/>
  <c r="J16" i="1"/>
  <c r="E9" i="2" s="1"/>
  <c r="J8" i="1"/>
  <c r="E7" i="2" s="1"/>
  <c r="J55" i="1"/>
  <c r="E44" i="2" s="1"/>
  <c r="J47" i="1"/>
  <c r="E42" i="2" s="1"/>
  <c r="J39" i="1"/>
  <c r="E25" i="2" s="1"/>
  <c r="J31" i="1"/>
  <c r="E23" i="2" s="1"/>
  <c r="J23" i="1"/>
  <c r="E6" i="2" s="1"/>
  <c r="J15" i="1"/>
  <c r="E4" i="2" s="1"/>
  <c r="J7" i="1"/>
  <c r="E2" i="2" s="1"/>
  <c r="J61" i="1"/>
  <c r="E55" i="2" s="1"/>
  <c r="J59" i="1"/>
  <c r="E45" i="2" s="1"/>
  <c r="N2" i="2" l="1"/>
  <c r="O2" i="2" s="1"/>
  <c r="M2" i="2"/>
  <c r="N47" i="2"/>
  <c r="O47" i="2" s="1"/>
  <c r="M47" i="2"/>
  <c r="N52" i="2"/>
  <c r="O52" i="2" s="1"/>
  <c r="M52" i="2"/>
  <c r="N22" i="2"/>
  <c r="O22" i="2" s="1"/>
  <c r="M22" i="2"/>
  <c r="N42" i="2"/>
  <c r="O42" i="2" s="1"/>
  <c r="M42" i="2"/>
  <c r="N32" i="2"/>
  <c r="O32" i="2" s="1"/>
  <c r="M32" i="2"/>
  <c r="N17" i="2"/>
  <c r="O17" i="2" s="1"/>
  <c r="M17" i="2"/>
  <c r="N27" i="2"/>
  <c r="O27" i="2" s="1"/>
  <c r="M27" i="2"/>
  <c r="M7" i="2"/>
  <c r="N7" i="2"/>
  <c r="O7" i="2" s="1"/>
  <c r="N12" i="2"/>
  <c r="O12" i="2" s="1"/>
  <c r="M12" i="2"/>
  <c r="N57" i="2"/>
  <c r="O57" i="2" s="1"/>
  <c r="M57" i="2"/>
  <c r="N37" i="2"/>
  <c r="O37" i="2" s="1"/>
  <c r="M37" i="2"/>
  <c r="J2" i="2"/>
  <c r="K2" i="2"/>
  <c r="L2" i="2" s="1"/>
  <c r="K27" i="2"/>
  <c r="L27" i="2" s="1"/>
  <c r="J27" i="2"/>
  <c r="K42" i="2"/>
  <c r="L42" i="2" s="1"/>
  <c r="J42" i="2"/>
  <c r="K32" i="2"/>
  <c r="L32" i="2" s="1"/>
  <c r="J32" i="2"/>
  <c r="K22" i="2"/>
  <c r="L22" i="2" s="1"/>
  <c r="J22" i="2"/>
  <c r="K12" i="2"/>
  <c r="L12" i="2" s="1"/>
  <c r="J12" i="2"/>
  <c r="K7" i="2"/>
  <c r="L7" i="2" s="1"/>
  <c r="J7" i="2"/>
  <c r="K57" i="2"/>
  <c r="L57" i="2" s="1"/>
  <c r="J57" i="2"/>
  <c r="K17" i="2"/>
  <c r="L17" i="2" s="1"/>
  <c r="J17" i="2"/>
  <c r="K37" i="2"/>
  <c r="L37" i="2" s="1"/>
  <c r="J37" i="2"/>
  <c r="K52" i="2"/>
  <c r="L52" i="2" s="1"/>
  <c r="J52" i="2"/>
  <c r="K47" i="2"/>
  <c r="L47" i="2" s="1"/>
  <c r="J47" i="2"/>
</calcChain>
</file>

<file path=xl/sharedStrings.xml><?xml version="1.0" encoding="utf-8"?>
<sst xmlns="http://schemas.openxmlformats.org/spreadsheetml/2006/main" count="318" uniqueCount="48">
  <si>
    <t>Peak Area</t>
  </si>
  <si>
    <t>Plot</t>
  </si>
  <si>
    <t>Depth</t>
  </si>
  <si>
    <t>Run Date</t>
  </si>
  <si>
    <t>Collection Date</t>
  </si>
  <si>
    <t>Grid Square</t>
  </si>
  <si>
    <t>CH4 Peak Area</t>
  </si>
  <si>
    <t>CO2 Peak Area</t>
  </si>
  <si>
    <t>CH4 (ppm)</t>
  </si>
  <si>
    <t>CO2 (ppm)</t>
  </si>
  <si>
    <t>Project: TEMPEST</t>
  </si>
  <si>
    <t>Measurement: Soil Air [CH4] and [CO2]</t>
  </si>
  <si>
    <t>CH4 Standard Curve</t>
  </si>
  <si>
    <t>Tank</t>
  </si>
  <si>
    <t>ppm</t>
  </si>
  <si>
    <t>slope</t>
  </si>
  <si>
    <t>intercept</t>
  </si>
  <si>
    <t>r2</t>
  </si>
  <si>
    <t>Control</t>
  </si>
  <si>
    <t>C3</t>
  </si>
  <si>
    <t>C6</t>
  </si>
  <si>
    <t>F4</t>
  </si>
  <si>
    <t>H3</t>
  </si>
  <si>
    <t>H6</t>
  </si>
  <si>
    <t>Freshwater</t>
  </si>
  <si>
    <t>Seawater</t>
  </si>
  <si>
    <t>Ave ppm</t>
  </si>
  <si>
    <t>Ave Peak Area</t>
  </si>
  <si>
    <t>TRI-STD1</t>
  </si>
  <si>
    <t>TRI-STD2</t>
  </si>
  <si>
    <t>TRI-STD3</t>
  </si>
  <si>
    <t>TRI-STD4</t>
  </si>
  <si>
    <t>TRI-STD5</t>
  </si>
  <si>
    <t xml:space="preserve">CO2 Standard Curve </t>
  </si>
  <si>
    <t>10000 ppm</t>
  </si>
  <si>
    <t>Sample ID</t>
  </si>
  <si>
    <t>2500 ppm</t>
  </si>
  <si>
    <t>Ave CH4 (ppm)</t>
  </si>
  <si>
    <t>CH4 SD</t>
  </si>
  <si>
    <t>CH4 SE</t>
  </si>
  <si>
    <t>Ave CO2 (ppm)</t>
  </si>
  <si>
    <t>CO2 SD</t>
  </si>
  <si>
    <t>CO2 SE</t>
  </si>
  <si>
    <t>Temp</t>
  </si>
  <si>
    <t>VWC</t>
  </si>
  <si>
    <t>EC</t>
  </si>
  <si>
    <t>5000 ppm</t>
  </si>
  <si>
    <t>Analyst: 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</si>
</sst>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0" borderId="0" xfId="0" applyFill="1" applyBorder="1"/>
    <xf numFmtId="0" fontId="1" fillId="0" borderId="0" xfId="0" applyFont="1"/>
    <xf numFmtId="0" fontId="2" fillId="0" borderId="0" xfId="0" applyFont="1"/>
    <xf numFmtId="14" fontId="2" fillId="0" borderId="0" xfId="0" applyNumberFormat="1" applyFont="1" applyBorder="1"/>
    <xf numFmtId="0" fontId="1" fillId="0" borderId="14" xfId="0" applyFont="1" applyBorder="1"/>
    <xf numFmtId="0" fontId="1" fillId="0" borderId="4" xfId="0" applyFont="1" applyBorder="1"/>
    <xf numFmtId="0" fontId="1" fillId="0" borderId="13" xfId="0" applyFont="1" applyBorder="1"/>
    <xf numFmtId="0" fontId="1" fillId="0" borderId="15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4" xfId="0" applyFont="1" applyFill="1" applyBorder="1"/>
    <xf numFmtId="14" fontId="1" fillId="0" borderId="4" xfId="0" applyNumberFormat="1" applyFont="1" applyFill="1" applyBorder="1"/>
    <xf numFmtId="14" fontId="4" fillId="0" borderId="4" xfId="0" applyNumberFormat="1" applyFont="1" applyFill="1" applyBorder="1"/>
    <xf numFmtId="0" fontId="1" fillId="0" borderId="0" xfId="0" applyFont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14" fontId="1" fillId="0" borderId="6" xfId="0" applyNumberFormat="1" applyFont="1" applyFill="1" applyBorder="1"/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14" fontId="4" fillId="0" borderId="6" xfId="0" applyNumberFormat="1" applyFont="1" applyFill="1" applyBorder="1"/>
    <xf numFmtId="14" fontId="1" fillId="2" borderId="6" xfId="0" applyNumberFormat="1" applyFont="1" applyFill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4" fontId="1" fillId="2" borderId="4" xfId="0" applyNumberFormat="1" applyFont="1" applyFill="1" applyBorder="1"/>
    <xf numFmtId="0" fontId="1" fillId="2" borderId="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14" fontId="1" fillId="0" borderId="20" xfId="0" applyNumberFormat="1" applyFont="1" applyFill="1" applyBorder="1"/>
    <xf numFmtId="0" fontId="1" fillId="0" borderId="20" xfId="0" applyFont="1" applyFill="1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4" fontId="4" fillId="2" borderId="11" xfId="0" applyNumberFormat="1" applyFont="1" applyFill="1" applyBorder="1"/>
    <xf numFmtId="0" fontId="1" fillId="2" borderId="1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4" fontId="4" fillId="0" borderId="20" xfId="0" applyNumberFormat="1" applyFont="1" applyFill="1" applyBorder="1"/>
    <xf numFmtId="0" fontId="4" fillId="0" borderId="20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14" fontId="1" fillId="2" borderId="11" xfId="0" applyNumberFormat="1" applyFont="1" applyFill="1" applyBorder="1"/>
    <xf numFmtId="0" fontId="1" fillId="0" borderId="20" xfId="0" applyFont="1" applyFill="1" applyBorder="1"/>
    <xf numFmtId="0" fontId="5" fillId="0" borderId="0" xfId="0" applyFont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5" fillId="0" borderId="18" xfId="0" applyFont="1" applyBorder="1"/>
    <xf numFmtId="0" fontId="5" fillId="0" borderId="16" xfId="0" applyFont="1" applyBorder="1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5" xfId="0" applyFont="1" applyBorder="1"/>
    <xf numFmtId="0" fontId="1" fillId="0" borderId="1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14" fontId="1" fillId="0" borderId="5" xfId="0" applyNumberFormat="1" applyFont="1" applyFill="1" applyBorder="1"/>
    <xf numFmtId="0" fontId="1" fillId="0" borderId="0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0" fillId="0" borderId="0" xfId="0" applyBorder="1"/>
    <xf numFmtId="0" fontId="1" fillId="0" borderId="3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  <xf numFmtId="14" fontId="1" fillId="0" borderId="8" xfId="0" applyNumberFormat="1" applyFont="1" applyFill="1" applyBorder="1"/>
    <xf numFmtId="14" fontId="1" fillId="2" borderId="5" xfId="0" applyNumberFormat="1" applyFont="1" applyFill="1" applyBorder="1"/>
    <xf numFmtId="14" fontId="1" fillId="2" borderId="8" xfId="0" applyNumberFormat="1" applyFont="1" applyFill="1" applyBorder="1"/>
    <xf numFmtId="14" fontId="1" fillId="0" borderId="19" xfId="0" applyNumberFormat="1" applyFont="1" applyFill="1" applyBorder="1"/>
    <xf numFmtId="14" fontId="1" fillId="2" borderId="10" xfId="0" applyNumberFormat="1" applyFont="1" applyFill="1" applyBorder="1"/>
    <xf numFmtId="0" fontId="1" fillId="0" borderId="8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4" xfId="0" applyFont="1" applyFill="1" applyBorder="1"/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9" xfId="0" applyFont="1" applyFill="1" applyBorder="1"/>
    <xf numFmtId="0" fontId="4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1" xfId="0" applyFont="1" applyFill="1" applyBorder="1"/>
    <xf numFmtId="0" fontId="1" fillId="3" borderId="12" xfId="0" applyFont="1" applyFill="1" applyBorder="1"/>
    <xf numFmtId="0" fontId="1" fillId="0" borderId="19" xfId="0" applyFont="1" applyFill="1" applyBorder="1" applyAlignment="1">
      <alignment horizontal="center"/>
    </xf>
    <xf numFmtId="0" fontId="1" fillId="0" borderId="20" xfId="0" applyFont="1" applyBorder="1"/>
    <xf numFmtId="0" fontId="1" fillId="0" borderId="21" xfId="0" applyFont="1" applyBorder="1"/>
    <xf numFmtId="0" fontId="4" fillId="0" borderId="19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/>
    <xf numFmtId="0" fontId="1" fillId="3" borderId="7" xfId="0" applyFont="1" applyFill="1" applyBorder="1"/>
    <xf numFmtId="0" fontId="4" fillId="3" borderId="5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1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0" fillId="0" borderId="2" xfId="0" applyBorder="1"/>
    <xf numFmtId="0" fontId="1" fillId="0" borderId="22" xfId="0" applyFont="1" applyFill="1" applyBorder="1"/>
    <xf numFmtId="0" fontId="1" fillId="0" borderId="23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Standard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657874323781504"/>
                  <c:y val="-0.136495642369095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and Samples'!$P$8:$P$22</c:f>
              <c:numCache>
                <c:formatCode>General</c:formatCode>
                <c:ptCount val="15"/>
                <c:pt idx="0">
                  <c:v>4625</c:v>
                </c:pt>
                <c:pt idx="3">
                  <c:v>3361.3333333333335</c:v>
                </c:pt>
                <c:pt idx="6">
                  <c:v>2367.6666666666665</c:v>
                </c:pt>
                <c:pt idx="9">
                  <c:v>1479.6666666666667</c:v>
                </c:pt>
                <c:pt idx="12">
                  <c:v>778.66666666666663</c:v>
                </c:pt>
              </c:numCache>
            </c:numRef>
          </c:xVal>
          <c:yVal>
            <c:numRef>
              <c:f>'STDs and Samples'!$O$8:$O$22</c:f>
              <c:numCache>
                <c:formatCode>General</c:formatCode>
                <c:ptCount val="15"/>
                <c:pt idx="0">
                  <c:v>7.5</c:v>
                </c:pt>
                <c:pt idx="3">
                  <c:v>5</c:v>
                </c:pt>
                <c:pt idx="6">
                  <c:v>3</c:v>
                </c:pt>
                <c:pt idx="9">
                  <c:v>1.5</c:v>
                </c:pt>
                <c:pt idx="12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31-43C7-86A1-6EE559DE2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237856"/>
        <c:axId val="1046132304"/>
      </c:scatterChart>
      <c:valAx>
        <c:axId val="12192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32304"/>
        <c:crosses val="autoZero"/>
        <c:crossBetween val="midCat"/>
      </c:valAx>
      <c:valAx>
        <c:axId val="10461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3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Standard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634329594121627"/>
                  <c:y val="-1.31738492897944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and Samples'!$P$26:$P$43</c:f>
              <c:numCache>
                <c:formatCode>General</c:formatCode>
                <c:ptCount val="18"/>
                <c:pt idx="0">
                  <c:v>219566</c:v>
                </c:pt>
                <c:pt idx="3">
                  <c:v>157900.66666666666</c:v>
                </c:pt>
                <c:pt idx="6">
                  <c:v>107604.66666666667</c:v>
                </c:pt>
                <c:pt idx="9">
                  <c:v>65128</c:v>
                </c:pt>
                <c:pt idx="12">
                  <c:v>31309.333333333332</c:v>
                </c:pt>
                <c:pt idx="15">
                  <c:v>297060</c:v>
                </c:pt>
                <c:pt idx="16">
                  <c:v>602499</c:v>
                </c:pt>
                <c:pt idx="17">
                  <c:v>1190232</c:v>
                </c:pt>
              </c:numCache>
            </c:numRef>
          </c:xVal>
          <c:yVal>
            <c:numRef>
              <c:f>'STDs and Samples'!$O$26:$O$43</c:f>
              <c:numCache>
                <c:formatCode>General</c:formatCode>
                <c:ptCount val="18"/>
                <c:pt idx="0">
                  <c:v>1375</c:v>
                </c:pt>
                <c:pt idx="3">
                  <c:v>916.70000000000016</c:v>
                </c:pt>
                <c:pt idx="6">
                  <c:v>550</c:v>
                </c:pt>
                <c:pt idx="9">
                  <c:v>275</c:v>
                </c:pt>
                <c:pt idx="12">
                  <c:v>91.7</c:v>
                </c:pt>
                <c:pt idx="15">
                  <c:v>2500</c:v>
                </c:pt>
                <c:pt idx="16">
                  <c:v>5000</c:v>
                </c:pt>
                <c:pt idx="17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6-4B92-94DD-AA3853C4A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237856"/>
        <c:axId val="1046132304"/>
      </c:scatterChart>
      <c:valAx>
        <c:axId val="12192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32304"/>
        <c:crosses val="autoZero"/>
        <c:crossBetween val="midCat"/>
      </c:valAx>
      <c:valAx>
        <c:axId val="10461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3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Control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(Sheet1!$L$2,Sheet1!$L$7,Sheet1!$L$12,Sheet1!$L$17)</c:f>
                <c:numCache>
                  <c:formatCode>General</c:formatCode>
                  <c:ptCount val="4"/>
                  <c:pt idx="0">
                    <c:v>0.11530894117791025</c:v>
                  </c:pt>
                  <c:pt idx="1">
                    <c:v>8.3163251186594622E-2</c:v>
                  </c:pt>
                  <c:pt idx="2">
                    <c:v>8.9970901761267916E-2</c:v>
                  </c:pt>
                  <c:pt idx="3">
                    <c:v>4.2975401324280321E-2</c:v>
                  </c:pt>
                </c:numCache>
              </c:numRef>
            </c:plus>
            <c:minus>
              <c:numRef>
                <c:f>(Sheet1!$L$2,Sheet1!$L$7,Sheet1!$L$12,Sheet1!$L$17)</c:f>
                <c:numCache>
                  <c:formatCode>General</c:formatCode>
                  <c:ptCount val="4"/>
                  <c:pt idx="0">
                    <c:v>0.11530894117791025</c:v>
                  </c:pt>
                  <c:pt idx="1">
                    <c:v>8.3163251186594622E-2</c:v>
                  </c:pt>
                  <c:pt idx="2">
                    <c:v>8.9970901761267916E-2</c:v>
                  </c:pt>
                  <c:pt idx="3">
                    <c:v>4.2975401324280321E-2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(Sheet1!$J$2,Sheet1!$J$7,Sheet1!$J$12,Sheet1!$J$17)</c:f>
              <c:numCache>
                <c:formatCode>General</c:formatCode>
                <c:ptCount val="4"/>
                <c:pt idx="0">
                  <c:v>0.41345506139110738</c:v>
                </c:pt>
                <c:pt idx="1">
                  <c:v>-0.22295859843091614</c:v>
                </c:pt>
                <c:pt idx="2">
                  <c:v>-0.27298880521461283</c:v>
                </c:pt>
                <c:pt idx="3">
                  <c:v>-0.4315404164188279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20-47EF-A229-EB6F04D6360F}"/>
            </c:ext>
          </c:extLst>
        </c:ser>
        <c:ser>
          <c:idx val="1"/>
          <c:order val="1"/>
          <c:tx>
            <c:v>Freshwater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7.5751130912995859E-2</c:v>
                  </c:pt>
                  <c:pt idx="1">
                    <c:v>4.8333165039658864E-2</c:v>
                  </c:pt>
                  <c:pt idx="2">
                    <c:v>4.32875887078727E-2</c:v>
                  </c:pt>
                  <c:pt idx="3">
                    <c:v>3.7293842490378988E-2</c:v>
                  </c:pt>
                </c:numCache>
              </c:numRef>
            </c:plus>
            <c:min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7.5751130912995859E-2</c:v>
                  </c:pt>
                  <c:pt idx="1">
                    <c:v>4.8333165039658864E-2</c:v>
                  </c:pt>
                  <c:pt idx="2">
                    <c:v>4.32875887078727E-2</c:v>
                  </c:pt>
                  <c:pt idx="3">
                    <c:v>3.7293842490378988E-2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7.6959425588037034E-2</c:v>
                  </c:pt>
                  <c:pt idx="1">
                    <c:v>4.8551065567709002E-2</c:v>
                  </c:pt>
                  <c:pt idx="2">
                    <c:v>3.6645936654061635E-2</c:v>
                  </c:pt>
                  <c:pt idx="3">
                    <c:v>0.10906343717869564</c:v>
                  </c:pt>
                </c:numCache>
              </c:numRef>
            </c:plus>
            <c:min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7.6959425588037034E-2</c:v>
                  </c:pt>
                  <c:pt idx="1">
                    <c:v>4.8551065567709002E-2</c:v>
                  </c:pt>
                  <c:pt idx="2">
                    <c:v>3.6645936654061635E-2</c:v>
                  </c:pt>
                  <c:pt idx="3">
                    <c:v>0.10906343717869564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(Sheet1!$J$22,Sheet1!$J$27,Sheet1!$J$32,Sheet1!$J$37)</c:f>
              <c:numCache>
                <c:formatCode>General</c:formatCode>
                <c:ptCount val="4"/>
                <c:pt idx="0">
                  <c:v>0.21958801010428292</c:v>
                </c:pt>
                <c:pt idx="1">
                  <c:v>-0.33589443286176079</c:v>
                </c:pt>
                <c:pt idx="2">
                  <c:v>-0.45839486564831217</c:v>
                </c:pt>
                <c:pt idx="3">
                  <c:v>-0.58420612094260815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0-47EF-A229-EB6F04D6360F}"/>
            </c:ext>
          </c:extLst>
        </c:ser>
        <c:ser>
          <c:idx val="2"/>
          <c:order val="2"/>
          <c:tx>
            <c:v>Seawater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7.6959425588037034E-2</c:v>
                  </c:pt>
                  <c:pt idx="1">
                    <c:v>4.8551065567709002E-2</c:v>
                  </c:pt>
                  <c:pt idx="2">
                    <c:v>3.6645936654061635E-2</c:v>
                  </c:pt>
                  <c:pt idx="3">
                    <c:v>0.10906343717869564</c:v>
                  </c:pt>
                </c:numCache>
              </c:numRef>
            </c:plus>
            <c:min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7.6959425588037034E-2</c:v>
                  </c:pt>
                  <c:pt idx="1">
                    <c:v>4.8551065567709002E-2</c:v>
                  </c:pt>
                  <c:pt idx="2">
                    <c:v>3.6645936654061635E-2</c:v>
                  </c:pt>
                  <c:pt idx="3">
                    <c:v>0.10906343717869564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7.5751130912995859E-2</c:v>
                  </c:pt>
                  <c:pt idx="1">
                    <c:v>4.8333165039658864E-2</c:v>
                  </c:pt>
                  <c:pt idx="2">
                    <c:v>4.32875887078727E-2</c:v>
                  </c:pt>
                  <c:pt idx="3">
                    <c:v>3.7293842490378988E-2</c:v>
                  </c:pt>
                </c:numCache>
              </c:numRef>
            </c:plus>
            <c:min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7.5751130912995859E-2</c:v>
                  </c:pt>
                  <c:pt idx="1">
                    <c:v>4.8333165039658864E-2</c:v>
                  </c:pt>
                  <c:pt idx="2">
                    <c:v>4.32875887078727E-2</c:v>
                  </c:pt>
                  <c:pt idx="3">
                    <c:v>3.7293842490378988E-2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(Sheet1!$J$42,Sheet1!$J$47,Sheet1!$J$52,Sheet1!$J$57)</c:f>
              <c:numCache>
                <c:formatCode>General</c:formatCode>
                <c:ptCount val="4"/>
                <c:pt idx="0">
                  <c:v>0.18795126169694529</c:v>
                </c:pt>
                <c:pt idx="1">
                  <c:v>-0.57537726092195585</c:v>
                </c:pt>
                <c:pt idx="2">
                  <c:v>-0.59561006513595083</c:v>
                </c:pt>
                <c:pt idx="3">
                  <c:v>-0.75636889134532892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0-47EF-A229-EB6F04D63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642367"/>
        <c:axId val="292216495"/>
      </c:scatterChart>
      <c:valAx>
        <c:axId val="2966423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16495"/>
        <c:crosses val="autoZero"/>
        <c:crossBetween val="midCat"/>
      </c:valAx>
      <c:valAx>
        <c:axId val="29221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4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(Sheet1!$D$2,Sheet1!$D$7,Sheet1!$D$12,Sheet1!$D$17)</c:f>
              <c:numCache>
                <c:formatCode>General</c:formatCode>
                <c:ptCount val="4"/>
                <c:pt idx="0">
                  <c:v>0.4789357732109456</c:v>
                </c:pt>
                <c:pt idx="1">
                  <c:v>-0.20714022422724732</c:v>
                </c:pt>
                <c:pt idx="2">
                  <c:v>-0.24208779514232959</c:v>
                </c:pt>
                <c:pt idx="3">
                  <c:v>-0.51431097911244372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27-4CF7-AB68-0C3E73F7E641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(Sheet1!$D$3,Sheet1!$D$8,Sheet1!$D$13,Sheet1!$D$18)</c:f>
              <c:numCache>
                <c:formatCode>General</c:formatCode>
                <c:ptCount val="4"/>
                <c:pt idx="0">
                  <c:v>0.6959785820519826</c:v>
                </c:pt>
                <c:pt idx="1">
                  <c:v>7.4279688931046195E-2</c:v>
                </c:pt>
                <c:pt idx="2">
                  <c:v>-7.2867978079826257E-2</c:v>
                </c:pt>
                <c:pt idx="3">
                  <c:v>-0.32853704951121721</c:v>
                </c:pt>
              </c:numCache>
            </c:numRef>
          </c:xVal>
          <c:yVal>
            <c:numRef>
              <c:f>(Sheet1!$C$3,Sheet1!$C$8,Sheet1!$C$13,Sheet1!$C$18)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27-4CF7-AB68-0C3E73F7E641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(Sheet1!$D$4,Sheet1!$D$9,Sheet1!$D$14,Sheet1!$D$19)</c:f>
              <c:numCache>
                <c:formatCode>General</c:formatCode>
                <c:ptCount val="4"/>
                <c:pt idx="0">
                  <c:v>0.40168324803023769</c:v>
                </c:pt>
                <c:pt idx="1">
                  <c:v>-0.2273730284412423</c:v>
                </c:pt>
                <c:pt idx="2">
                  <c:v>-0.19058611168852424</c:v>
                </c:pt>
                <c:pt idx="3">
                  <c:v>-0.41682564971774072</c:v>
                </c:pt>
              </c:numCache>
            </c:numRef>
          </c:xVal>
          <c:yVal>
            <c:numRef>
              <c:f>(Sheet1!$C$4,Sheet1!$C$9,Sheet1!$C$14,Sheet1!$C$19)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27-4CF7-AB68-0C3E73F7E641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(Sheet1!$D$5,Sheet1!$D$10,Sheet1!$D$15,Sheet1!$D$20)</c:f>
              <c:numCache>
                <c:formatCode>General</c:formatCode>
                <c:ptCount val="4"/>
                <c:pt idx="0">
                  <c:v>-4.8121820872977228E-3</c:v>
                </c:pt>
                <c:pt idx="1">
                  <c:v>-0.40946826636719702</c:v>
                </c:pt>
                <c:pt idx="2">
                  <c:v>-0.24944517849287318</c:v>
                </c:pt>
                <c:pt idx="3">
                  <c:v>-0.35244854540048398</c:v>
                </c:pt>
              </c:numCache>
            </c:numRef>
          </c:xVal>
          <c:yVal>
            <c:numRef>
              <c:f>(Sheet1!$C$5,Sheet1!$C$10,Sheet1!$C$15,Sheet1!$C$20)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27-4CF7-AB68-0C3E73F7E641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(Sheet1!$D$6,Sheet1!$D$11,Sheet1!$D$16,Sheet1!$D$21)</c:f>
              <c:numCache>
                <c:formatCode>General</c:formatCode>
                <c:ptCount val="4"/>
                <c:pt idx="0">
                  <c:v>0.49548988574966879</c:v>
                </c:pt>
                <c:pt idx="1">
                  <c:v>-0.34509116204994028</c:v>
                </c:pt>
                <c:pt idx="2">
                  <c:v>-0.60995696266951083</c:v>
                </c:pt>
                <c:pt idx="3">
                  <c:v>-0.54557985835225409</c:v>
                </c:pt>
              </c:numCache>
            </c:numRef>
          </c:xVal>
          <c:yVal>
            <c:numRef>
              <c:f>(Sheet1!$C$6,Sheet1!$C$11,Sheet1!$C$16,Sheet1!$C$21)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27-4CF7-AB68-0C3E73F7E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157007"/>
        <c:axId val="428569247"/>
      </c:scatterChart>
      <c:valAx>
        <c:axId val="6481570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69247"/>
        <c:crosses val="autoZero"/>
        <c:crossBetween val="midCat"/>
      </c:valAx>
      <c:valAx>
        <c:axId val="4285692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5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Freshwater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(Sheet1!$D$22,Sheet1!$D$27,Sheet1!$D$32,Sheet1!$D$37)</c:f>
              <c:numCache>
                <c:formatCode>General</c:formatCode>
                <c:ptCount val="4"/>
                <c:pt idx="0">
                  <c:v>0.16072894329993392</c:v>
                </c:pt>
                <c:pt idx="1">
                  <c:v>-0.40578957469192523</c:v>
                </c:pt>
                <c:pt idx="2">
                  <c:v>-0.37268134961447896</c:v>
                </c:pt>
                <c:pt idx="3">
                  <c:v>-0.65226191693513669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E2-4439-8EE5-4F3143F82284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(Sheet1!$D$23,Sheet1!$D$28,Sheet1!$D$33,Sheet1!$D$38)</c:f>
              <c:numCache>
                <c:formatCode>General</c:formatCode>
                <c:ptCount val="4"/>
                <c:pt idx="0">
                  <c:v>-1.2169565437841312E-2</c:v>
                </c:pt>
                <c:pt idx="1">
                  <c:v>-0.37084200377684307</c:v>
                </c:pt>
                <c:pt idx="2">
                  <c:v>-0.62099303769532621</c:v>
                </c:pt>
                <c:pt idx="3">
                  <c:v>-0.65410126277277258</c:v>
                </c:pt>
              </c:numCache>
            </c:numRef>
          </c:xVal>
          <c:yVal>
            <c:numRef>
              <c:f>(Sheet1!$C$23,Sheet1!$C$28,Sheet1!$C$33,Sheet1!$C$38)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E2-4439-8EE5-4F3143F82284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(Sheet1!$D$24,Sheet1!$D$29,Sheet1!$D$34,Sheet1!$D$39)</c:f>
              <c:numCache>
                <c:formatCode>General</c:formatCode>
                <c:ptCount val="4"/>
                <c:pt idx="0">
                  <c:v>0.1791224016762929</c:v>
                </c:pt>
                <c:pt idx="1">
                  <c:v>-0.35428789123811988</c:v>
                </c:pt>
                <c:pt idx="2">
                  <c:v>-0.46648798733391017</c:v>
                </c:pt>
                <c:pt idx="3">
                  <c:v>-0.60076023348133134</c:v>
                </c:pt>
              </c:numCache>
            </c:numRef>
          </c:xVal>
          <c:yVal>
            <c:numRef>
              <c:f>(Sheet1!$C$24,Sheet1!$C$29,Sheet1!$C$34,Sheet1!$C$39)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E2-4439-8EE5-4F3143F82284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(Sheet1!$D$25,Sheet1!$D$30,Sheet1!$D$35,Sheet1!$D$40)</c:f>
              <c:numCache>
                <c:formatCode>General</c:formatCode>
                <c:ptCount val="4"/>
                <c:pt idx="0">
                  <c:v>0.40904063138078128</c:v>
                </c:pt>
                <c:pt idx="1">
                  <c:v>-0.40211088301665343</c:v>
                </c:pt>
                <c:pt idx="2">
                  <c:v>-0.41866499555537662</c:v>
                </c:pt>
                <c:pt idx="3">
                  <c:v>-0.45177322063282288</c:v>
                </c:pt>
              </c:numCache>
            </c:numRef>
          </c:xVal>
          <c:yVal>
            <c:numRef>
              <c:f>(Sheet1!$C$25,Sheet1!$C$30,Sheet1!$C$35,Sheet1!$C$40)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E2-4439-8EE5-4F3143F82284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(Sheet1!$D$26,Sheet1!$D$31,Sheet1!$D$36,Sheet1!$D$41)</c:f>
              <c:numCache>
                <c:formatCode>General</c:formatCode>
                <c:ptCount val="4"/>
                <c:pt idx="0">
                  <c:v>0.36121763960224773</c:v>
                </c:pt>
                <c:pt idx="1">
                  <c:v>-0.14644181158526248</c:v>
                </c:pt>
                <c:pt idx="2">
                  <c:v>-0.41314695804246881</c:v>
                </c:pt>
                <c:pt idx="3">
                  <c:v>-0.56213397089097727</c:v>
                </c:pt>
              </c:numCache>
            </c:numRef>
          </c:xVal>
          <c:yVal>
            <c:numRef>
              <c:f>(Sheet1!$C$26,Sheet1!$C$31,Sheet1!$C$36,Sheet1!$C$41)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E2-4439-8EE5-4F3143F82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705183"/>
        <c:axId val="598059967"/>
      </c:scatterChart>
      <c:valAx>
        <c:axId val="544705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59967"/>
        <c:crosses val="autoZero"/>
        <c:crossBetween val="midCat"/>
      </c:valAx>
      <c:valAx>
        <c:axId val="5980599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0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(Sheet1!$D$42,Sheet1!$D$47,Sheet1!$D$52,Sheet1!$D$57)</c:f>
              <c:numCache>
                <c:formatCode>General</c:formatCode>
                <c:ptCount val="4"/>
                <c:pt idx="0">
                  <c:v>0.31707333949898597</c:v>
                </c:pt>
                <c:pt idx="1">
                  <c:v>-0.43889779976937149</c:v>
                </c:pt>
                <c:pt idx="2">
                  <c:v>-0.49407817489844874</c:v>
                </c:pt>
                <c:pt idx="3">
                  <c:v>-1.1396885639086518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62-4EA4-B5E6-479A4E26A290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(Sheet1!$D$43,Sheet1!$D$48,Sheet1!$D$53,Sheet1!$D$58)</c:f>
              <c:numCache>
                <c:formatCode>General</c:formatCode>
                <c:ptCount val="4"/>
                <c:pt idx="0">
                  <c:v>0.10370922233322077</c:v>
                </c:pt>
                <c:pt idx="1">
                  <c:v>-0.63202911272114171</c:v>
                </c:pt>
                <c:pt idx="2">
                  <c:v>-0.55477658754043369</c:v>
                </c:pt>
                <c:pt idx="3">
                  <c:v>-0.45913060398336647</c:v>
                </c:pt>
              </c:numCache>
            </c:numRef>
          </c:xVal>
          <c:yVal>
            <c:numRef>
              <c:f>(Sheet1!$C$43,Sheet1!$C$48,Sheet1!$C$53,Sheet1!$C$58)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62-4EA4-B5E6-479A4E26A290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(Sheet1!$D$44,Sheet1!$D$49,Sheet1!$D$54,Sheet1!$D$59)</c:f>
              <c:numCache>
                <c:formatCode>General</c:formatCode>
                <c:ptCount val="4"/>
                <c:pt idx="0">
                  <c:v>0.31523399366134996</c:v>
                </c:pt>
                <c:pt idx="1">
                  <c:v>-0.60627827099423903</c:v>
                </c:pt>
                <c:pt idx="2">
                  <c:v>-0.56949135424152086</c:v>
                </c:pt>
                <c:pt idx="3">
                  <c:v>-0.7350324796287524</c:v>
                </c:pt>
              </c:numCache>
            </c:numRef>
          </c:xVal>
          <c:yVal>
            <c:numRef>
              <c:f>(Sheet1!$C$44,Sheet1!$C$49,Sheet1!$C$54,Sheet1!$C$59)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62-4EA4-B5E6-479A4E26A290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(Sheet1!$D$45,Sheet1!$D$50,Sheet1!$D$55,Sheet1!$D$60)</c:f>
              <c:numCache>
                <c:formatCode>General</c:formatCode>
                <c:ptCount val="4"/>
                <c:pt idx="0">
                  <c:v>0.2802864227462678</c:v>
                </c:pt>
                <c:pt idx="1">
                  <c:v>-0.49223882906081284</c:v>
                </c:pt>
                <c:pt idx="2">
                  <c:v>-0.67801275866203936</c:v>
                </c:pt>
                <c:pt idx="3">
                  <c:v>-0.72951444211584471</c:v>
                </c:pt>
              </c:numCache>
            </c:numRef>
          </c:xVal>
          <c:yVal>
            <c:numRef>
              <c:f>(Sheet1!$C$45,Sheet1!$C$50,Sheet1!$C$55,Sheet1!$C$60)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62-4EA4-B5E6-479A4E26A290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(Sheet1!$D$46,Sheet1!$D$51,Sheet1!$D$56,Sheet1!$D$61)</c:f>
              <c:numCache>
                <c:formatCode>General</c:formatCode>
                <c:ptCount val="4"/>
                <c:pt idx="0">
                  <c:v>-7.6546669755098051E-2</c:v>
                </c:pt>
                <c:pt idx="1">
                  <c:v>-0.70744229206421383</c:v>
                </c:pt>
                <c:pt idx="2">
                  <c:v>-0.68169145033731116</c:v>
                </c:pt>
                <c:pt idx="3">
                  <c:v>-0.71847836709002921</c:v>
                </c:pt>
              </c:numCache>
            </c:numRef>
          </c:xVal>
          <c:yVal>
            <c:numRef>
              <c:f>(Sheet1!$C$46,Sheet1!$C$51,Sheet1!$C$56,Sheet1!$C$61)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662-4EA4-B5E6-479A4E26A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359"/>
        <c:axId val="597795407"/>
      </c:scatterChart>
      <c:valAx>
        <c:axId val="7283233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95407"/>
        <c:crosses val="autoZero"/>
        <c:crossBetween val="midCat"/>
      </c:valAx>
      <c:valAx>
        <c:axId val="5977954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(Sheet1!$F$2:$F$6,Sheet1!$F$22:$F$26,Sheet1!$F$42:$F$46)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0.4789357732109456</c:v>
                </c:pt>
                <c:pt idx="1">
                  <c:v>0.6959785820519826</c:v>
                </c:pt>
                <c:pt idx="2">
                  <c:v>0.40168324803023769</c:v>
                </c:pt>
                <c:pt idx="3">
                  <c:v>-4.8121820872977228E-3</c:v>
                </c:pt>
                <c:pt idx="4">
                  <c:v>0.49548988574966879</c:v>
                </c:pt>
                <c:pt idx="5">
                  <c:v>0.16072894329993392</c:v>
                </c:pt>
                <c:pt idx="6">
                  <c:v>-1.2169565437841312E-2</c:v>
                </c:pt>
                <c:pt idx="7">
                  <c:v>0.1791224016762929</c:v>
                </c:pt>
                <c:pt idx="8">
                  <c:v>0.40904063138078128</c:v>
                </c:pt>
                <c:pt idx="9">
                  <c:v>0.36121763960224773</c:v>
                </c:pt>
                <c:pt idx="10">
                  <c:v>0.31707333949898597</c:v>
                </c:pt>
                <c:pt idx="11">
                  <c:v>0.10370922233322077</c:v>
                </c:pt>
                <c:pt idx="12">
                  <c:v>0.31523399366134996</c:v>
                </c:pt>
                <c:pt idx="13">
                  <c:v>0.2802864227462678</c:v>
                </c:pt>
                <c:pt idx="14">
                  <c:v>-7.6546669755098051E-2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C6-4AF0-BDB8-C58923B7897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(Sheet1!$F$7:$F$11,Sheet1!$F$27:$F$31,Sheet1!$F$47:$F$51)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-0.20714022422724732</c:v>
                </c:pt>
                <c:pt idx="1">
                  <c:v>7.4279688931046195E-2</c:v>
                </c:pt>
                <c:pt idx="2">
                  <c:v>-0.2273730284412423</c:v>
                </c:pt>
                <c:pt idx="3">
                  <c:v>-0.40946826636719702</c:v>
                </c:pt>
                <c:pt idx="4">
                  <c:v>-0.34509116204994028</c:v>
                </c:pt>
                <c:pt idx="5">
                  <c:v>-0.40578957469192523</c:v>
                </c:pt>
                <c:pt idx="6">
                  <c:v>-0.37084200377684307</c:v>
                </c:pt>
                <c:pt idx="7">
                  <c:v>-0.35428789123811988</c:v>
                </c:pt>
                <c:pt idx="8">
                  <c:v>-0.40211088301665343</c:v>
                </c:pt>
                <c:pt idx="9">
                  <c:v>-0.14644181158526248</c:v>
                </c:pt>
                <c:pt idx="10">
                  <c:v>-0.43889779976937149</c:v>
                </c:pt>
                <c:pt idx="11">
                  <c:v>-0.63202911272114171</c:v>
                </c:pt>
                <c:pt idx="12">
                  <c:v>-0.60627827099423903</c:v>
                </c:pt>
                <c:pt idx="13">
                  <c:v>-0.49223882906081284</c:v>
                </c:pt>
                <c:pt idx="14">
                  <c:v>-0.70744229206421383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C6-4AF0-BDB8-C58923B7897D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(Sheet1!$F$12:$F$16,Sheet1!$F$32:$F$36,Sheet1!$F$52:$F$56)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-0.24208779514232959</c:v>
                </c:pt>
                <c:pt idx="1">
                  <c:v>-7.2867978079826257E-2</c:v>
                </c:pt>
                <c:pt idx="2">
                  <c:v>-0.19058611168852424</c:v>
                </c:pt>
                <c:pt idx="3">
                  <c:v>-0.24944517849287318</c:v>
                </c:pt>
                <c:pt idx="4">
                  <c:v>-0.60995696266951083</c:v>
                </c:pt>
                <c:pt idx="5">
                  <c:v>-0.37268134961447896</c:v>
                </c:pt>
                <c:pt idx="6">
                  <c:v>-0.62099303769532621</c:v>
                </c:pt>
                <c:pt idx="7">
                  <c:v>-0.46648798733391017</c:v>
                </c:pt>
                <c:pt idx="8">
                  <c:v>-0.41866499555537662</c:v>
                </c:pt>
                <c:pt idx="9">
                  <c:v>-0.41314695804246881</c:v>
                </c:pt>
                <c:pt idx="10">
                  <c:v>-0.49407817489844874</c:v>
                </c:pt>
                <c:pt idx="11">
                  <c:v>-0.55477658754043369</c:v>
                </c:pt>
                <c:pt idx="12">
                  <c:v>-0.56949135424152086</c:v>
                </c:pt>
                <c:pt idx="13">
                  <c:v>-0.67801275866203936</c:v>
                </c:pt>
                <c:pt idx="14">
                  <c:v>-0.68169145033731116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C6-4AF0-BDB8-C58923B78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759"/>
        <c:axId val="722109679"/>
      </c:scatterChart>
      <c:valAx>
        <c:axId val="72832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9679"/>
        <c:crosses val="autoZero"/>
        <c:crossBetween val="midCat"/>
      </c:valAx>
      <c:valAx>
        <c:axId val="72210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697200349956257"/>
                  <c:y val="-0.10250473899095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(Sheet1!$G$2:$G$6,Sheet1!$G$22:$G$26,Sheet1!$G$42:$G$46)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0.4789357732109456</c:v>
                </c:pt>
                <c:pt idx="1">
                  <c:v>0.6959785820519826</c:v>
                </c:pt>
                <c:pt idx="2">
                  <c:v>0.40168324803023769</c:v>
                </c:pt>
                <c:pt idx="3">
                  <c:v>-4.8121820872977228E-3</c:v>
                </c:pt>
                <c:pt idx="4">
                  <c:v>0.49548988574966879</c:v>
                </c:pt>
                <c:pt idx="5">
                  <c:v>0.16072894329993392</c:v>
                </c:pt>
                <c:pt idx="6">
                  <c:v>-1.2169565437841312E-2</c:v>
                </c:pt>
                <c:pt idx="7">
                  <c:v>0.1791224016762929</c:v>
                </c:pt>
                <c:pt idx="8">
                  <c:v>0.40904063138078128</c:v>
                </c:pt>
                <c:pt idx="9">
                  <c:v>0.36121763960224773</c:v>
                </c:pt>
                <c:pt idx="10">
                  <c:v>0.31707333949898597</c:v>
                </c:pt>
                <c:pt idx="11">
                  <c:v>0.10370922233322077</c:v>
                </c:pt>
                <c:pt idx="12">
                  <c:v>0.31523399366134996</c:v>
                </c:pt>
                <c:pt idx="13">
                  <c:v>0.2802864227462678</c:v>
                </c:pt>
                <c:pt idx="14">
                  <c:v>-7.6546669755098051E-2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12-4D4F-94BB-5387DE811416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621369203849518"/>
                  <c:y val="-0.36299504228638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(Sheet1!$G$7:$G$11,Sheet1!$G$27:$G$31,Sheet1!$G$47:$G$51)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-0.20714022422724732</c:v>
                </c:pt>
                <c:pt idx="1">
                  <c:v>7.4279688931046195E-2</c:v>
                </c:pt>
                <c:pt idx="2">
                  <c:v>-0.2273730284412423</c:v>
                </c:pt>
                <c:pt idx="3">
                  <c:v>-0.40946826636719702</c:v>
                </c:pt>
                <c:pt idx="4">
                  <c:v>-0.34509116204994028</c:v>
                </c:pt>
                <c:pt idx="5">
                  <c:v>-0.40578957469192523</c:v>
                </c:pt>
                <c:pt idx="6">
                  <c:v>-0.37084200377684307</c:v>
                </c:pt>
                <c:pt idx="7">
                  <c:v>-0.35428789123811988</c:v>
                </c:pt>
                <c:pt idx="8">
                  <c:v>-0.40211088301665343</c:v>
                </c:pt>
                <c:pt idx="9">
                  <c:v>-0.14644181158526248</c:v>
                </c:pt>
                <c:pt idx="10">
                  <c:v>-0.43889779976937149</c:v>
                </c:pt>
                <c:pt idx="11">
                  <c:v>-0.63202911272114171</c:v>
                </c:pt>
                <c:pt idx="12">
                  <c:v>-0.60627827099423903</c:v>
                </c:pt>
                <c:pt idx="13">
                  <c:v>-0.49223882906081284</c:v>
                </c:pt>
                <c:pt idx="14">
                  <c:v>-0.70744229206421383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12-4D4F-94BB-5387DE811416}"/>
            </c:ext>
          </c:extLst>
        </c:ser>
        <c:ser>
          <c:idx val="2"/>
          <c:order val="2"/>
          <c:tx>
            <c:v>30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063232720909885"/>
                  <c:y val="0.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(Sheet1!$G$12:$G$16,Sheet1!$G$32:$G$36,Sheet1!$G$52:$G$56)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-0.24208779514232959</c:v>
                </c:pt>
                <c:pt idx="1">
                  <c:v>-7.2867978079826257E-2</c:v>
                </c:pt>
                <c:pt idx="2">
                  <c:v>-0.19058611168852424</c:v>
                </c:pt>
                <c:pt idx="3">
                  <c:v>-0.24944517849287318</c:v>
                </c:pt>
                <c:pt idx="4">
                  <c:v>-0.60995696266951083</c:v>
                </c:pt>
                <c:pt idx="5">
                  <c:v>-0.37268134961447896</c:v>
                </c:pt>
                <c:pt idx="6">
                  <c:v>-0.62099303769532621</c:v>
                </c:pt>
                <c:pt idx="7">
                  <c:v>-0.46648798733391017</c:v>
                </c:pt>
                <c:pt idx="8">
                  <c:v>-0.41866499555537662</c:v>
                </c:pt>
                <c:pt idx="9">
                  <c:v>-0.41314695804246881</c:v>
                </c:pt>
                <c:pt idx="10">
                  <c:v>-0.49407817489844874</c:v>
                </c:pt>
                <c:pt idx="11">
                  <c:v>-0.55477658754043369</c:v>
                </c:pt>
                <c:pt idx="12">
                  <c:v>-0.56949135424152086</c:v>
                </c:pt>
                <c:pt idx="13">
                  <c:v>-0.67801275866203936</c:v>
                </c:pt>
                <c:pt idx="14">
                  <c:v>-0.68169145033731116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12-4D4F-94BB-5387DE811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683231"/>
        <c:axId val="722090543"/>
      </c:scatterChart>
      <c:valAx>
        <c:axId val="72568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vwc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90543"/>
        <c:crosses val="autoZero"/>
        <c:crossBetween val="midCat"/>
      </c:valAx>
      <c:valAx>
        <c:axId val="7220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</a:t>
                </a:r>
                <a:r>
                  <a:rPr lang="en-US" baseline="0"/>
                  <a:t>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68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(Sheet1!$H$2:$H$6,Sheet1!$H$22:$H$26,Sheet1!$H$42:$H$46)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0.4789357732109456</c:v>
                </c:pt>
                <c:pt idx="1">
                  <c:v>0.6959785820519826</c:v>
                </c:pt>
                <c:pt idx="2">
                  <c:v>0.40168324803023769</c:v>
                </c:pt>
                <c:pt idx="3">
                  <c:v>-4.8121820872977228E-3</c:v>
                </c:pt>
                <c:pt idx="4">
                  <c:v>0.49548988574966879</c:v>
                </c:pt>
                <c:pt idx="5">
                  <c:v>0.16072894329993392</c:v>
                </c:pt>
                <c:pt idx="6">
                  <c:v>-1.2169565437841312E-2</c:v>
                </c:pt>
                <c:pt idx="7">
                  <c:v>0.1791224016762929</c:v>
                </c:pt>
                <c:pt idx="8">
                  <c:v>0.40904063138078128</c:v>
                </c:pt>
                <c:pt idx="9">
                  <c:v>0.36121763960224773</c:v>
                </c:pt>
                <c:pt idx="10">
                  <c:v>0.31707333949898597</c:v>
                </c:pt>
                <c:pt idx="11">
                  <c:v>0.10370922233322077</c:v>
                </c:pt>
                <c:pt idx="12">
                  <c:v>0.31523399366134996</c:v>
                </c:pt>
                <c:pt idx="13">
                  <c:v>0.2802864227462678</c:v>
                </c:pt>
                <c:pt idx="14">
                  <c:v>-7.6546669755098051E-2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BA-486E-9862-D91B6512F067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(Sheet1!$H$7:$H$11,Sheet1!$H$27:$H$31,Sheet1!$H$47:$H$51)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-0.20714022422724732</c:v>
                </c:pt>
                <c:pt idx="1">
                  <c:v>7.4279688931046195E-2</c:v>
                </c:pt>
                <c:pt idx="2">
                  <c:v>-0.2273730284412423</c:v>
                </c:pt>
                <c:pt idx="3">
                  <c:v>-0.40946826636719702</c:v>
                </c:pt>
                <c:pt idx="4">
                  <c:v>-0.34509116204994028</c:v>
                </c:pt>
                <c:pt idx="5">
                  <c:v>-0.40578957469192523</c:v>
                </c:pt>
                <c:pt idx="6">
                  <c:v>-0.37084200377684307</c:v>
                </c:pt>
                <c:pt idx="7">
                  <c:v>-0.35428789123811988</c:v>
                </c:pt>
                <c:pt idx="8">
                  <c:v>-0.40211088301665343</c:v>
                </c:pt>
                <c:pt idx="9">
                  <c:v>-0.14644181158526248</c:v>
                </c:pt>
                <c:pt idx="10">
                  <c:v>-0.43889779976937149</c:v>
                </c:pt>
                <c:pt idx="11">
                  <c:v>-0.63202911272114171</c:v>
                </c:pt>
                <c:pt idx="12">
                  <c:v>-0.60627827099423903</c:v>
                </c:pt>
                <c:pt idx="13">
                  <c:v>-0.49223882906081284</c:v>
                </c:pt>
                <c:pt idx="14">
                  <c:v>-0.70744229206421383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BA-486E-9862-D91B6512F067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(Sheet1!$H$12:$H$16,Sheet1!$H$32:$H$36,Sheet1!$H$52:$H$56)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-0.24208779514232959</c:v>
                </c:pt>
                <c:pt idx="1">
                  <c:v>-7.2867978079826257E-2</c:v>
                </c:pt>
                <c:pt idx="2">
                  <c:v>-0.19058611168852424</c:v>
                </c:pt>
                <c:pt idx="3">
                  <c:v>-0.24944517849287318</c:v>
                </c:pt>
                <c:pt idx="4">
                  <c:v>-0.60995696266951083</c:v>
                </c:pt>
                <c:pt idx="5">
                  <c:v>-0.37268134961447896</c:v>
                </c:pt>
                <c:pt idx="6">
                  <c:v>-0.62099303769532621</c:v>
                </c:pt>
                <c:pt idx="7">
                  <c:v>-0.46648798733391017</c:v>
                </c:pt>
                <c:pt idx="8">
                  <c:v>-0.41866499555537662</c:v>
                </c:pt>
                <c:pt idx="9">
                  <c:v>-0.41314695804246881</c:v>
                </c:pt>
                <c:pt idx="10">
                  <c:v>-0.49407817489844874</c:v>
                </c:pt>
                <c:pt idx="11">
                  <c:v>-0.55477658754043369</c:v>
                </c:pt>
                <c:pt idx="12">
                  <c:v>-0.56949135424152086</c:v>
                </c:pt>
                <c:pt idx="13">
                  <c:v>-0.67801275866203936</c:v>
                </c:pt>
                <c:pt idx="14">
                  <c:v>-0.68169145033731116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BA-486E-9862-D91B6512F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75743"/>
        <c:axId val="722112175"/>
      </c:scatterChart>
      <c:valAx>
        <c:axId val="65387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12175"/>
        <c:crosses val="autoZero"/>
        <c:crossBetween val="midCat"/>
      </c:valAx>
      <c:valAx>
        <c:axId val="72211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7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Control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(Sheet1!$O$2,Sheet1!$O$7,Sheet1!$O$12,Sheet1!$O$17)</c:f>
                <c:numCache>
                  <c:formatCode>General</c:formatCode>
                  <c:ptCount val="4"/>
                  <c:pt idx="0">
                    <c:v>333.86208042757607</c:v>
                  </c:pt>
                  <c:pt idx="1">
                    <c:v>886.78739793984846</c:v>
                  </c:pt>
                  <c:pt idx="2">
                    <c:v>3423.2749806981424</c:v>
                  </c:pt>
                  <c:pt idx="3">
                    <c:v>1550.7963101656969</c:v>
                  </c:pt>
                </c:numCache>
              </c:numRef>
            </c:plus>
            <c:minus>
              <c:numRef>
                <c:f>(Sheet1!$O$2,Sheet1!$O$7,Sheet1!$O$12,Sheet1!$O$17)</c:f>
                <c:numCache>
                  <c:formatCode>General</c:formatCode>
                  <c:ptCount val="4"/>
                  <c:pt idx="0">
                    <c:v>333.86208042757607</c:v>
                  </c:pt>
                  <c:pt idx="1">
                    <c:v>886.78739793984846</c:v>
                  </c:pt>
                  <c:pt idx="2">
                    <c:v>3423.2749806981424</c:v>
                  </c:pt>
                  <c:pt idx="3">
                    <c:v>1550.7963101656969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(Sheet1!$M$2,Sheet1!$M$7,Sheet1!$M$12,Sheet1!$M$17)</c:f>
              <c:numCache>
                <c:formatCode>General</c:formatCode>
                <c:ptCount val="4"/>
                <c:pt idx="0">
                  <c:v>2365.5851762275006</c:v>
                </c:pt>
                <c:pt idx="1">
                  <c:v>7122.1491443321893</c:v>
                </c:pt>
                <c:pt idx="2">
                  <c:v>11680.300751553204</c:v>
                </c:pt>
                <c:pt idx="3">
                  <c:v>13394.869420898796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F2-4B89-B68A-CCA15B93D00C}"/>
            </c:ext>
          </c:extLst>
        </c:ser>
        <c:ser>
          <c:idx val="1"/>
          <c:order val="1"/>
          <c:tx>
            <c:v>Freshwater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(Sheet1!$O$22,Sheet1!$O$27,Sheet1!$O$32,Sheet1!$O$37)</c:f>
                <c:numCache>
                  <c:formatCode>General</c:formatCode>
                  <c:ptCount val="4"/>
                  <c:pt idx="0">
                    <c:v>247.51575982660893</c:v>
                  </c:pt>
                  <c:pt idx="1">
                    <c:v>438.60382228681681</c:v>
                  </c:pt>
                  <c:pt idx="2">
                    <c:v>820.79746509239294</c:v>
                  </c:pt>
                  <c:pt idx="3">
                    <c:v>1103.2665519297652</c:v>
                  </c:pt>
                </c:numCache>
              </c:numRef>
            </c:plus>
            <c:minus>
              <c:numRef>
                <c:f>(Sheet1!$O$22,Sheet1!$O$27,Sheet1!$O$32,Sheet1!$O$37)</c:f>
                <c:numCache>
                  <c:formatCode>General</c:formatCode>
                  <c:ptCount val="4"/>
                  <c:pt idx="0">
                    <c:v>247.51575982660893</c:v>
                  </c:pt>
                  <c:pt idx="1">
                    <c:v>438.60382228681681</c:v>
                  </c:pt>
                  <c:pt idx="2">
                    <c:v>820.79746509239294</c:v>
                  </c:pt>
                  <c:pt idx="3">
                    <c:v>1103.2665519297652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(Sheet1!$M$22,Sheet1!$M$27,Sheet1!$M$32,Sheet1!$M$37)</c:f>
              <c:numCache>
                <c:formatCode>General</c:formatCode>
                <c:ptCount val="4"/>
                <c:pt idx="0">
                  <c:v>3448.9115183250251</c:v>
                </c:pt>
                <c:pt idx="1">
                  <c:v>6704.6058836710699</c:v>
                </c:pt>
                <c:pt idx="2">
                  <c:v>9677.6936040307737</c:v>
                </c:pt>
                <c:pt idx="3">
                  <c:v>16104.312342395389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F2-4B89-B68A-CCA15B93D00C}"/>
            </c:ext>
          </c:extLst>
        </c:ser>
        <c:ser>
          <c:idx val="2"/>
          <c:order val="2"/>
          <c:tx>
            <c:v>Seawater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(Sheet1!$O$42,Sheet1!$O$47,Sheet1!$O$52,Sheet1!$O$57)</c:f>
                <c:numCache>
                  <c:formatCode>General</c:formatCode>
                  <c:ptCount val="4"/>
                  <c:pt idx="0">
                    <c:v>950.18804403979789</c:v>
                  </c:pt>
                  <c:pt idx="1">
                    <c:v>1022.5780036434081</c:v>
                  </c:pt>
                  <c:pt idx="2">
                    <c:v>1579.1672950196294</c:v>
                  </c:pt>
                  <c:pt idx="3">
                    <c:v>2077.0794011534194</c:v>
                  </c:pt>
                </c:numCache>
              </c:numRef>
            </c:plus>
            <c:minus>
              <c:numRef>
                <c:f>(Sheet1!$O$42,Sheet1!$O$47,Sheet1!$O$52,Sheet1!$O$57)</c:f>
                <c:numCache>
                  <c:formatCode>General</c:formatCode>
                  <c:ptCount val="4"/>
                  <c:pt idx="0">
                    <c:v>950.18804403979789</c:v>
                  </c:pt>
                  <c:pt idx="1">
                    <c:v>1022.5780036434081</c:v>
                  </c:pt>
                  <c:pt idx="2">
                    <c:v>1579.1672950196294</c:v>
                  </c:pt>
                  <c:pt idx="3">
                    <c:v>2077.0794011534194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(Sheet1!$M$42,Sheet1!$M$47,Sheet1!$M$52,Sheet1!$M$57)</c:f>
              <c:numCache>
                <c:formatCode>General</c:formatCode>
                <c:ptCount val="4"/>
                <c:pt idx="0">
                  <c:v>3730.8920153931517</c:v>
                </c:pt>
                <c:pt idx="1">
                  <c:v>8797.2391874344194</c:v>
                </c:pt>
                <c:pt idx="2">
                  <c:v>12097.089156112925</c:v>
                </c:pt>
                <c:pt idx="3">
                  <c:v>16560.306303134137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F2-4B89-B68A-CCA15B93D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642367"/>
        <c:axId val="292216495"/>
      </c:scatterChart>
      <c:valAx>
        <c:axId val="2966423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16495"/>
        <c:crosses val="autoZero"/>
        <c:crossBetween val="midCat"/>
      </c:valAx>
      <c:valAx>
        <c:axId val="29221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4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(Sheet1!$E$2,Sheet1!$E$7,Sheet1!$E$12,Sheet1!$E$17)</c:f>
              <c:numCache>
                <c:formatCode>General</c:formatCode>
                <c:ptCount val="4"/>
                <c:pt idx="0">
                  <c:v>2143.633132218547</c:v>
                </c:pt>
                <c:pt idx="1">
                  <c:v>4702.2648490138772</c:v>
                </c:pt>
                <c:pt idx="2">
                  <c:v>6798.4689352108171</c:v>
                </c:pt>
                <c:pt idx="3">
                  <c:v>13948.251993816788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E-465B-80FA-C899F8F93303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(Sheet1!$E$3,Sheet1!$E$8,Sheet1!$E$13,Sheet1!$E$18)</c:f>
              <c:numCache>
                <c:formatCode>General</c:formatCode>
                <c:ptCount val="4"/>
                <c:pt idx="0">
                  <c:v>3191.4829768499585</c:v>
                </c:pt>
                <c:pt idx="1">
                  <c:v>10218.941082433832</c:v>
                </c:pt>
                <c:pt idx="2">
                  <c:v>24477.677137478935</c:v>
                </c:pt>
                <c:pt idx="3">
                  <c:v>18078.871541781406</c:v>
                </c:pt>
              </c:numCache>
            </c:numRef>
          </c:xVal>
          <c:yVal>
            <c:numRef>
              <c:f>(Sheet1!$C$3,Sheet1!$C$8,Sheet1!$C$13,Sheet1!$C$18)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DE-465B-80FA-C899F8F93303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(Sheet1!$E$4,Sheet1!$E$9,Sheet1!$E$14,Sheet1!$E$24)</c:f>
              <c:numCache>
                <c:formatCode>General</c:formatCode>
                <c:ptCount val="4"/>
                <c:pt idx="0">
                  <c:v>2445.4277322985849</c:v>
                </c:pt>
                <c:pt idx="1">
                  <c:v>7142.4763407770815</c:v>
                </c:pt>
                <c:pt idx="2">
                  <c:v>6167.6596936061824</c:v>
                </c:pt>
                <c:pt idx="3">
                  <c:v>3260.8114657943743</c:v>
                </c:pt>
              </c:numCache>
            </c:numRef>
          </c:xVal>
          <c:yVal>
            <c:numRef>
              <c:f>(Sheet1!$C$4,Sheet1!$C$9,Sheet1!$C$14,Sheet1!$C$19)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DE-465B-80FA-C899F8F93303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(Sheet1!$E$5,Sheet1!$E$10,Sheet1!$E$15,Sheet1!$E$20)</c:f>
              <c:numCache>
                <c:formatCode>General</c:formatCode>
                <c:ptCount val="4"/>
                <c:pt idx="0">
                  <c:v>2816.7073583025922</c:v>
                </c:pt>
                <c:pt idx="1">
                  <c:v>6912.0886928699729</c:v>
                </c:pt>
                <c:pt idx="2">
                  <c:v>7881.2613122780876</c:v>
                </c:pt>
                <c:pt idx="3">
                  <c:v>8794.3415140129091</c:v>
                </c:pt>
              </c:numCache>
            </c:numRef>
          </c:xVal>
          <c:yVal>
            <c:numRef>
              <c:f>(Sheet1!$C$5,Sheet1!$C$10,Sheet1!$C$15,Sheet1!$C$20)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DE-465B-80FA-C899F8F93303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(Sheet1!$E$6,Sheet1!$E$11,Sheet1!$E$16,Sheet1!$E$21)</c:f>
              <c:numCache>
                <c:formatCode>General</c:formatCode>
                <c:ptCount val="4"/>
                <c:pt idx="0">
                  <c:v>1230.6746814678218</c:v>
                </c:pt>
                <c:pt idx="1">
                  <c:v>6634.9747565661837</c:v>
                </c:pt>
                <c:pt idx="2">
                  <c:v>13076.436679192007</c:v>
                </c:pt>
                <c:pt idx="3">
                  <c:v>14574.04335557685</c:v>
                </c:pt>
              </c:numCache>
            </c:numRef>
          </c:xVal>
          <c:yVal>
            <c:numRef>
              <c:f>(Sheet1!$C$6,Sheet1!$C$11,Sheet1!$C$16,Sheet1!$C$21)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DE-465B-80FA-C899F8F93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157007"/>
        <c:axId val="428569247"/>
      </c:scatterChart>
      <c:valAx>
        <c:axId val="6481570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Dioxide </a:t>
                </a:r>
                <a:r>
                  <a:rPr lang="en-US"/>
                  <a:t>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69247"/>
        <c:crosses val="autoZero"/>
        <c:crossBetween val="midCat"/>
      </c:valAx>
      <c:valAx>
        <c:axId val="4285692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5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Freshwater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(Sheet1!$E$22,Sheet1!$E$27,Sheet1!$E$32,Sheet1!$E$37)</c:f>
              <c:numCache>
                <c:formatCode>General</c:formatCode>
                <c:ptCount val="4"/>
                <c:pt idx="0">
                  <c:v>3240.1051019990086</c:v>
                </c:pt>
                <c:pt idx="1">
                  <c:v>6754.4124719654064</c:v>
                </c:pt>
                <c:pt idx="2">
                  <c:v>9556.0504565196206</c:v>
                </c:pt>
                <c:pt idx="3">
                  <c:v>18789.601607946901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D0-4DEC-81E8-C8EF066C9575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(Sheet1!$E$23,Sheet1!$E$28,Sheet1!$E$33,Sheet1!$E$38)</c:f>
              <c:numCache>
                <c:formatCode>General</c:formatCode>
                <c:ptCount val="4"/>
                <c:pt idx="0">
                  <c:v>4241.9939501337776</c:v>
                </c:pt>
                <c:pt idx="1">
                  <c:v>7396.0053721614959</c:v>
                </c:pt>
                <c:pt idx="2">
                  <c:v>12618.044224066547</c:v>
                </c:pt>
                <c:pt idx="3">
                  <c:v>16984.434552735136</c:v>
                </c:pt>
              </c:numCache>
            </c:numRef>
          </c:xVal>
          <c:yVal>
            <c:numRef>
              <c:f>(Sheet1!$C$23,Sheet1!$C$28,Sheet1!$C$33,Sheet1!$C$38)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D0-4DEC-81E8-C8EF066C9575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(Sheet1!$E$24,Sheet1!$E$29,Sheet1!$E$34,Sheet1!$E$39)</c:f>
              <c:numCache>
                <c:formatCode>General</c:formatCode>
                <c:ptCount val="4"/>
                <c:pt idx="0">
                  <c:v>3260.8114657943743</c:v>
                </c:pt>
                <c:pt idx="1">
                  <c:v>6543.8789309649846</c:v>
                </c:pt>
                <c:pt idx="2">
                  <c:v>9695.2118313425672</c:v>
                </c:pt>
                <c:pt idx="3">
                  <c:v>17681.0588977431</c:v>
                </c:pt>
              </c:numCache>
            </c:numRef>
          </c:xVal>
          <c:yVal>
            <c:numRef>
              <c:f>(Sheet1!$C$24,Sheet1!$C$29,Sheet1!$C$34,Sheet1!$C$39)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D0-4DEC-81E8-C8EF066C9575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(Sheet1!$E$25,Sheet1!$E$30,Sheet1!$E$35,Sheet1!$E$40)</c:f>
              <c:numCache>
                <c:formatCode>General</c:formatCode>
                <c:ptCount val="4"/>
                <c:pt idx="0">
                  <c:v>3719.2474034141542</c:v>
                </c:pt>
                <c:pt idx="1">
                  <c:v>7673.8585108687321</c:v>
                </c:pt>
                <c:pt idx="2">
                  <c:v>8888.5941687017676</c:v>
                </c:pt>
                <c:pt idx="3">
                  <c:v>12962.477758077152</c:v>
                </c:pt>
              </c:numCache>
            </c:numRef>
          </c:xVal>
          <c:yVal>
            <c:numRef>
              <c:f>(Sheet1!$C$25,Sheet1!$C$30,Sheet1!$C$35,Sheet1!$C$40)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D0-4DEC-81E8-C8EF066C9575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(Sheet1!$E$26,Sheet1!$E$31,Sheet1!$E$36,Sheet1!$E$41)</c:f>
              <c:numCache>
                <c:formatCode>General</c:formatCode>
                <c:ptCount val="4"/>
                <c:pt idx="0">
                  <c:v>2782.3996702838117</c:v>
                </c:pt>
                <c:pt idx="1">
                  <c:v>5154.8741323947261</c:v>
                </c:pt>
                <c:pt idx="2">
                  <c:v>7630.5673395233607</c:v>
                </c:pt>
                <c:pt idx="3">
                  <c:v>14103.988895474664</c:v>
                </c:pt>
              </c:numCache>
            </c:numRef>
          </c:xVal>
          <c:yVal>
            <c:numRef>
              <c:f>(Sheet1!$C$26,Sheet1!$C$31,Sheet1!$C$36,Sheet1!$C$41)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D0-4DEC-81E8-C8EF066C9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705183"/>
        <c:axId val="598059967"/>
      </c:scatterChart>
      <c:valAx>
        <c:axId val="544705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59967"/>
        <c:crosses val="autoZero"/>
        <c:crossBetween val="midCat"/>
      </c:valAx>
      <c:valAx>
        <c:axId val="5980599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0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(Sheet1!$E$42,Sheet1!$E$47,Sheet1!$E$52,Sheet1!$E$57)</c:f>
              <c:numCache>
                <c:formatCode>General</c:formatCode>
                <c:ptCount val="4"/>
                <c:pt idx="0">
                  <c:v>1457.3054418656491</c:v>
                </c:pt>
                <c:pt idx="1">
                  <c:v>6542.6005456319654</c:v>
                </c:pt>
                <c:pt idx="2">
                  <c:v>9305.5217172433113</c:v>
                </c:pt>
                <c:pt idx="3">
                  <c:v>18434.68009630622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3-43A0-94C7-D802203207EA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(Sheet1!$E$43,Sheet1!$E$48,Sheet1!$E$53,Sheet1!$E$58)</c:f>
              <c:numCache>
                <c:formatCode>General</c:formatCode>
                <c:ptCount val="4"/>
                <c:pt idx="0">
                  <c:v>4852.9925673260468</c:v>
                </c:pt>
                <c:pt idx="1">
                  <c:v>9778.8547574172535</c:v>
                </c:pt>
                <c:pt idx="2">
                  <c:v>11318.60466729741</c:v>
                </c:pt>
                <c:pt idx="3">
                  <c:v>11900.617853775713</c:v>
                </c:pt>
              </c:numCache>
            </c:numRef>
          </c:xVal>
          <c:yVal>
            <c:numRef>
              <c:f>(Sheet1!$C$43,Sheet1!$C$48,Sheet1!$C$53,Sheet1!$C$58)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D3-43A0-94C7-D802203207EA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(Sheet1!$E$44,Sheet1!$E$49,Sheet1!$E$54,Sheet1!$E$59)</c:f>
              <c:numCache>
                <c:formatCode>General</c:formatCode>
                <c:ptCount val="4"/>
                <c:pt idx="0">
                  <c:v>3816.1611867554193</c:v>
                </c:pt>
                <c:pt idx="1">
                  <c:v>11542.3394935735</c:v>
                </c:pt>
                <c:pt idx="2">
                  <c:v>14408.009799263906</c:v>
                </c:pt>
                <c:pt idx="3">
                  <c:v>21269.660457505302</c:v>
                </c:pt>
              </c:numCache>
            </c:numRef>
          </c:xVal>
          <c:yVal>
            <c:numRef>
              <c:f>(Sheet1!$C$44,Sheet1!$C$49,Sheet1!$C$54,Sheet1!$C$59)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D3-43A0-94C7-D802203207EA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(Sheet1!$E$45,Sheet1!$E$50,Sheet1!$E$55,Sheet1!$E$60)</c:f>
              <c:numCache>
                <c:formatCode>General</c:formatCode>
                <c:ptCount val="4"/>
                <c:pt idx="0">
                  <c:v>1913.1324298262057</c:v>
                </c:pt>
                <c:pt idx="1">
                  <c:v>6293.8198026273358</c:v>
                </c:pt>
                <c:pt idx="2">
                  <c:v>8522.8803019707684</c:v>
                </c:pt>
                <c:pt idx="3">
                  <c:v>11295.367622332598</c:v>
                </c:pt>
              </c:numCache>
            </c:numRef>
          </c:xVal>
          <c:yVal>
            <c:numRef>
              <c:f>(Sheet1!$C$45,Sheet1!$C$50,Sheet1!$C$55,Sheet1!$C$60)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D3-43A0-94C7-D802203207EA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(Sheet1!$E$46,Sheet1!$E$51,Sheet1!$E$56,Sheet1!$E$61)</c:f>
              <c:numCache>
                <c:formatCode>General</c:formatCode>
                <c:ptCount val="4"/>
                <c:pt idx="0">
                  <c:v>6614.8684511924394</c:v>
                </c:pt>
                <c:pt idx="1">
                  <c:v>9828.5813379220417</c:v>
                </c:pt>
                <c:pt idx="2">
                  <c:v>16930.429294789225</c:v>
                </c:pt>
                <c:pt idx="3">
                  <c:v>19901.205485750856</c:v>
                </c:pt>
              </c:numCache>
            </c:numRef>
          </c:xVal>
          <c:yVal>
            <c:numRef>
              <c:f>(Sheet1!$C$46,Sheet1!$C$51,Sheet1!$C$56,Sheet1!$C$61)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D3-43A0-94C7-D80220320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359"/>
        <c:axId val="597795407"/>
      </c:scatterChart>
      <c:valAx>
        <c:axId val="7283233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95407"/>
        <c:crosses val="autoZero"/>
        <c:crossBetween val="midCat"/>
      </c:valAx>
      <c:valAx>
        <c:axId val="5977954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(Sheet1!$F$2:$F$6,Sheet1!$F$22:$F$26,Sheet1!$F$42:$F$46)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2143.633132218547</c:v>
                </c:pt>
                <c:pt idx="1">
                  <c:v>3191.4829768499585</c:v>
                </c:pt>
                <c:pt idx="2">
                  <c:v>2445.4277322985849</c:v>
                </c:pt>
                <c:pt idx="3">
                  <c:v>2816.7073583025922</c:v>
                </c:pt>
                <c:pt idx="4">
                  <c:v>1230.6746814678218</c:v>
                </c:pt>
                <c:pt idx="5">
                  <c:v>3240.1051019990086</c:v>
                </c:pt>
                <c:pt idx="6">
                  <c:v>4241.9939501337776</c:v>
                </c:pt>
                <c:pt idx="7">
                  <c:v>3260.8114657943743</c:v>
                </c:pt>
                <c:pt idx="8">
                  <c:v>3719.2474034141542</c:v>
                </c:pt>
                <c:pt idx="9">
                  <c:v>2782.3996702838117</c:v>
                </c:pt>
                <c:pt idx="10">
                  <c:v>1457.3054418656491</c:v>
                </c:pt>
                <c:pt idx="11">
                  <c:v>4852.9925673260468</c:v>
                </c:pt>
                <c:pt idx="12">
                  <c:v>3816.1611867554193</c:v>
                </c:pt>
                <c:pt idx="13">
                  <c:v>1913.1324298262057</c:v>
                </c:pt>
                <c:pt idx="14">
                  <c:v>6614.8684511924394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70-4418-9CC7-C14F062B3347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(Sheet1!$F$7:$F$11,Sheet1!$F$27:$F$31,Sheet1!$F$47:$F$51)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4702.2648490138772</c:v>
                </c:pt>
                <c:pt idx="1">
                  <c:v>10218.941082433832</c:v>
                </c:pt>
                <c:pt idx="2">
                  <c:v>7142.4763407770815</c:v>
                </c:pt>
                <c:pt idx="3">
                  <c:v>6912.0886928699729</c:v>
                </c:pt>
                <c:pt idx="4">
                  <c:v>6634.9747565661837</c:v>
                </c:pt>
                <c:pt idx="5">
                  <c:v>6754.4124719654064</c:v>
                </c:pt>
                <c:pt idx="6">
                  <c:v>7396.0053721614959</c:v>
                </c:pt>
                <c:pt idx="7">
                  <c:v>6543.8789309649846</c:v>
                </c:pt>
                <c:pt idx="8">
                  <c:v>7673.8585108687321</c:v>
                </c:pt>
                <c:pt idx="9">
                  <c:v>5154.8741323947261</c:v>
                </c:pt>
                <c:pt idx="10">
                  <c:v>6542.6005456319654</c:v>
                </c:pt>
                <c:pt idx="11">
                  <c:v>9778.8547574172535</c:v>
                </c:pt>
                <c:pt idx="12">
                  <c:v>11542.3394935735</c:v>
                </c:pt>
                <c:pt idx="13">
                  <c:v>6293.8198026273358</c:v>
                </c:pt>
                <c:pt idx="14">
                  <c:v>9828.5813379220417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70-4418-9CC7-C14F062B3347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(Sheet1!$F$12:$F$16,Sheet1!$F$32:$F$36,Sheet1!$F$52:$F$56)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6798.4689352108171</c:v>
                </c:pt>
                <c:pt idx="1">
                  <c:v>24477.677137478935</c:v>
                </c:pt>
                <c:pt idx="2">
                  <c:v>6167.6596936061824</c:v>
                </c:pt>
                <c:pt idx="3">
                  <c:v>7881.2613122780876</c:v>
                </c:pt>
                <c:pt idx="4">
                  <c:v>13076.436679192007</c:v>
                </c:pt>
                <c:pt idx="5">
                  <c:v>9556.0504565196206</c:v>
                </c:pt>
                <c:pt idx="6">
                  <c:v>12618.044224066547</c:v>
                </c:pt>
                <c:pt idx="7">
                  <c:v>9695.2118313425672</c:v>
                </c:pt>
                <c:pt idx="8">
                  <c:v>8888.5941687017676</c:v>
                </c:pt>
                <c:pt idx="9">
                  <c:v>7630.5673395233607</c:v>
                </c:pt>
                <c:pt idx="10">
                  <c:v>9305.5217172433113</c:v>
                </c:pt>
                <c:pt idx="11">
                  <c:v>11318.60466729741</c:v>
                </c:pt>
                <c:pt idx="12">
                  <c:v>14408.009799263906</c:v>
                </c:pt>
                <c:pt idx="13">
                  <c:v>8522.8803019707684</c:v>
                </c:pt>
                <c:pt idx="14">
                  <c:v>16930.429294789225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70-4418-9CC7-C14F062B3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759"/>
        <c:axId val="722109679"/>
      </c:scatterChart>
      <c:valAx>
        <c:axId val="72832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9679"/>
        <c:crosses val="autoZero"/>
        <c:crossBetween val="midCat"/>
      </c:valAx>
      <c:valAx>
        <c:axId val="72210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697200349956257"/>
                  <c:y val="-0.10250473899095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(Sheet1!$G$2:$G$6,Sheet1!$G$22:$G$26,Sheet1!$G$42:$G$46)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2143.633132218547</c:v>
                </c:pt>
                <c:pt idx="1">
                  <c:v>3191.4829768499585</c:v>
                </c:pt>
                <c:pt idx="2">
                  <c:v>2445.4277322985849</c:v>
                </c:pt>
                <c:pt idx="3">
                  <c:v>2816.7073583025922</c:v>
                </c:pt>
                <c:pt idx="4">
                  <c:v>1230.6746814678218</c:v>
                </c:pt>
                <c:pt idx="5">
                  <c:v>3240.1051019990086</c:v>
                </c:pt>
                <c:pt idx="6">
                  <c:v>4241.9939501337776</c:v>
                </c:pt>
                <c:pt idx="7">
                  <c:v>3260.8114657943743</c:v>
                </c:pt>
                <c:pt idx="8">
                  <c:v>3719.2474034141542</c:v>
                </c:pt>
                <c:pt idx="9">
                  <c:v>2782.3996702838117</c:v>
                </c:pt>
                <c:pt idx="10">
                  <c:v>1457.3054418656491</c:v>
                </c:pt>
                <c:pt idx="11">
                  <c:v>4852.9925673260468</c:v>
                </c:pt>
                <c:pt idx="12">
                  <c:v>3816.1611867554193</c:v>
                </c:pt>
                <c:pt idx="13">
                  <c:v>1913.1324298262057</c:v>
                </c:pt>
                <c:pt idx="14">
                  <c:v>6614.8684511924394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39-4F35-B0A8-CC1C980E180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621369203849518"/>
                  <c:y val="-0.36299504228638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(Sheet1!$G$7:$G$11,Sheet1!$G$27:$G$31,Sheet1!$G$47:$G$51)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4702.2648490138772</c:v>
                </c:pt>
                <c:pt idx="1">
                  <c:v>10218.941082433832</c:v>
                </c:pt>
                <c:pt idx="2">
                  <c:v>7142.4763407770815</c:v>
                </c:pt>
                <c:pt idx="3">
                  <c:v>6912.0886928699729</c:v>
                </c:pt>
                <c:pt idx="4">
                  <c:v>6634.9747565661837</c:v>
                </c:pt>
                <c:pt idx="5">
                  <c:v>6754.4124719654064</c:v>
                </c:pt>
                <c:pt idx="6">
                  <c:v>7396.0053721614959</c:v>
                </c:pt>
                <c:pt idx="7">
                  <c:v>6543.8789309649846</c:v>
                </c:pt>
                <c:pt idx="8">
                  <c:v>7673.8585108687321</c:v>
                </c:pt>
                <c:pt idx="9">
                  <c:v>5154.8741323947261</c:v>
                </c:pt>
                <c:pt idx="10">
                  <c:v>6542.6005456319654</c:v>
                </c:pt>
                <c:pt idx="11">
                  <c:v>9778.8547574172535</c:v>
                </c:pt>
                <c:pt idx="12">
                  <c:v>11542.3394935735</c:v>
                </c:pt>
                <c:pt idx="13">
                  <c:v>6293.8198026273358</c:v>
                </c:pt>
                <c:pt idx="14">
                  <c:v>9828.5813379220417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39-4F35-B0A8-CC1C980E180D}"/>
            </c:ext>
          </c:extLst>
        </c:ser>
        <c:ser>
          <c:idx val="2"/>
          <c:order val="2"/>
          <c:tx>
            <c:v>30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063232720909885"/>
                  <c:y val="0.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(Sheet1!$G$12:$G$16,Sheet1!$G$32:$G$36,Sheet1!$G$52:$G$56)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6798.4689352108171</c:v>
                </c:pt>
                <c:pt idx="1">
                  <c:v>24477.677137478935</c:v>
                </c:pt>
                <c:pt idx="2">
                  <c:v>6167.6596936061824</c:v>
                </c:pt>
                <c:pt idx="3">
                  <c:v>7881.2613122780876</c:v>
                </c:pt>
                <c:pt idx="4">
                  <c:v>13076.436679192007</c:v>
                </c:pt>
                <c:pt idx="5">
                  <c:v>9556.0504565196206</c:v>
                </c:pt>
                <c:pt idx="6">
                  <c:v>12618.044224066547</c:v>
                </c:pt>
                <c:pt idx="7">
                  <c:v>9695.2118313425672</c:v>
                </c:pt>
                <c:pt idx="8">
                  <c:v>8888.5941687017676</c:v>
                </c:pt>
                <c:pt idx="9">
                  <c:v>7630.5673395233607</c:v>
                </c:pt>
                <c:pt idx="10">
                  <c:v>9305.5217172433113</c:v>
                </c:pt>
                <c:pt idx="11">
                  <c:v>11318.60466729741</c:v>
                </c:pt>
                <c:pt idx="12">
                  <c:v>14408.009799263906</c:v>
                </c:pt>
                <c:pt idx="13">
                  <c:v>8522.8803019707684</c:v>
                </c:pt>
                <c:pt idx="14">
                  <c:v>16930.429294789225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39-4F35-B0A8-CC1C980E1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683231"/>
        <c:axId val="722090543"/>
      </c:scatterChart>
      <c:valAx>
        <c:axId val="72568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vwc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90543"/>
        <c:crosses val="autoZero"/>
        <c:crossBetween val="midCat"/>
      </c:valAx>
      <c:valAx>
        <c:axId val="7220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Carbon Dioxide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68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(Sheet1!$H$2:$H$6,Sheet1!$H$22:$H$26,Sheet1!$H$42:$H$46)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2143.633132218547</c:v>
                </c:pt>
                <c:pt idx="1">
                  <c:v>3191.4829768499585</c:v>
                </c:pt>
                <c:pt idx="2">
                  <c:v>2445.4277322985849</c:v>
                </c:pt>
                <c:pt idx="3">
                  <c:v>2816.7073583025922</c:v>
                </c:pt>
                <c:pt idx="4">
                  <c:v>1230.6746814678218</c:v>
                </c:pt>
                <c:pt idx="5">
                  <c:v>3240.1051019990086</c:v>
                </c:pt>
                <c:pt idx="6">
                  <c:v>4241.9939501337776</c:v>
                </c:pt>
                <c:pt idx="7">
                  <c:v>3260.8114657943743</c:v>
                </c:pt>
                <c:pt idx="8">
                  <c:v>3719.2474034141542</c:v>
                </c:pt>
                <c:pt idx="9">
                  <c:v>2782.3996702838117</c:v>
                </c:pt>
                <c:pt idx="10">
                  <c:v>1457.3054418656491</c:v>
                </c:pt>
                <c:pt idx="11">
                  <c:v>4852.9925673260468</c:v>
                </c:pt>
                <c:pt idx="12">
                  <c:v>3816.1611867554193</c:v>
                </c:pt>
                <c:pt idx="13">
                  <c:v>1913.1324298262057</c:v>
                </c:pt>
                <c:pt idx="14">
                  <c:v>6614.8684511924394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97-4EE4-9DA2-87F4A25F109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(Sheet1!$H$7:$H$11,Sheet1!$H$27:$H$31,Sheet1!$H$47:$H$51)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4702.2648490138772</c:v>
                </c:pt>
                <c:pt idx="1">
                  <c:v>10218.941082433832</c:v>
                </c:pt>
                <c:pt idx="2">
                  <c:v>7142.4763407770815</c:v>
                </c:pt>
                <c:pt idx="3">
                  <c:v>6912.0886928699729</c:v>
                </c:pt>
                <c:pt idx="4">
                  <c:v>6634.9747565661837</c:v>
                </c:pt>
                <c:pt idx="5">
                  <c:v>6754.4124719654064</c:v>
                </c:pt>
                <c:pt idx="6">
                  <c:v>7396.0053721614959</c:v>
                </c:pt>
                <c:pt idx="7">
                  <c:v>6543.8789309649846</c:v>
                </c:pt>
                <c:pt idx="8">
                  <c:v>7673.8585108687321</c:v>
                </c:pt>
                <c:pt idx="9">
                  <c:v>5154.8741323947261</c:v>
                </c:pt>
                <c:pt idx="10">
                  <c:v>6542.6005456319654</c:v>
                </c:pt>
                <c:pt idx="11">
                  <c:v>9778.8547574172535</c:v>
                </c:pt>
                <c:pt idx="12">
                  <c:v>11542.3394935735</c:v>
                </c:pt>
                <c:pt idx="13">
                  <c:v>6293.8198026273358</c:v>
                </c:pt>
                <c:pt idx="14">
                  <c:v>9828.5813379220417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97-4EE4-9DA2-87F4A25F109D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(Sheet1!$H$12:$H$16,Sheet1!$H$32:$H$36,Sheet1!$H$52:$H$56)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6798.4689352108171</c:v>
                </c:pt>
                <c:pt idx="1">
                  <c:v>24477.677137478935</c:v>
                </c:pt>
                <c:pt idx="2">
                  <c:v>6167.6596936061824</c:v>
                </c:pt>
                <c:pt idx="3">
                  <c:v>7881.2613122780876</c:v>
                </c:pt>
                <c:pt idx="4">
                  <c:v>13076.436679192007</c:v>
                </c:pt>
                <c:pt idx="5">
                  <c:v>9556.0504565196206</c:v>
                </c:pt>
                <c:pt idx="6">
                  <c:v>12618.044224066547</c:v>
                </c:pt>
                <c:pt idx="7">
                  <c:v>9695.2118313425672</c:v>
                </c:pt>
                <c:pt idx="8">
                  <c:v>8888.5941687017676</c:v>
                </c:pt>
                <c:pt idx="9">
                  <c:v>7630.5673395233607</c:v>
                </c:pt>
                <c:pt idx="10">
                  <c:v>9305.5217172433113</c:v>
                </c:pt>
                <c:pt idx="11">
                  <c:v>11318.60466729741</c:v>
                </c:pt>
                <c:pt idx="12">
                  <c:v>14408.009799263906</c:v>
                </c:pt>
                <c:pt idx="13">
                  <c:v>8522.8803019707684</c:v>
                </c:pt>
                <c:pt idx="14">
                  <c:v>16930.429294789225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97-4EE4-9DA2-87F4A25F1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75743"/>
        <c:axId val="722112175"/>
      </c:scatterChart>
      <c:valAx>
        <c:axId val="65387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12175"/>
        <c:crosses val="autoZero"/>
        <c:crossBetween val="midCat"/>
      </c:valAx>
      <c:valAx>
        <c:axId val="72211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7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600075</xdr:colOff>
      <xdr:row>9</xdr:row>
      <xdr:rowOff>11642</xdr:rowOff>
    </xdr:from>
    <xdr:to>
      <xdr:col>24</xdr:col>
      <xdr:colOff>258233</xdr:colOff>
      <xdr:row>23</xdr:row>
      <xdr:rowOff>16934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82DF66-8AA9-4498-A389-EF940DA13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24</xdr:row>
      <xdr:rowOff>21167</xdr:rowOff>
    </xdr:from>
    <xdr:to>
      <xdr:col>24</xdr:col>
      <xdr:colOff>275166</xdr:colOff>
      <xdr:row>39</xdr:row>
      <xdr:rowOff>8467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579309-79BE-4455-879F-4C2D1EDCC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9979</xdr:colOff>
      <xdr:row>0</xdr:row>
      <xdr:rowOff>360587</xdr:rowOff>
    </xdr:from>
    <xdr:to>
      <xdr:col>28</xdr:col>
      <xdr:colOff>0</xdr:colOff>
      <xdr:row>27</xdr:row>
      <xdr:rowOff>160110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CDD416-5D7B-418C-BAB3-F022B4553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122009</xdr:colOff>
      <xdr:row>0</xdr:row>
      <xdr:rowOff>350157</xdr:rowOff>
    </xdr:from>
    <xdr:to>
      <xdr:col>35</xdr:col>
      <xdr:colOff>462642</xdr:colOff>
      <xdr:row>27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F744E8-195A-4793-B06F-AAD58EEF6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499834</xdr:colOff>
      <xdr:row>0</xdr:row>
      <xdr:rowOff>346982</xdr:rowOff>
    </xdr:from>
    <xdr:to>
      <xdr:col>43</xdr:col>
      <xdr:colOff>190499</xdr:colOff>
      <xdr:row>27</xdr:row>
      <xdr:rowOff>146504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1CA52C-53C5-4199-9D71-03E5BABBA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245382</xdr:colOff>
      <xdr:row>0</xdr:row>
      <xdr:rowOff>366938</xdr:rowOff>
    </xdr:from>
    <xdr:to>
      <xdr:col>50</xdr:col>
      <xdr:colOff>513898</xdr:colOff>
      <xdr:row>28</xdr:row>
      <xdr:rowOff>13606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96E5AB-B1C9-48B2-BAC2-8E4734E2D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9977</xdr:colOff>
      <xdr:row>28</xdr:row>
      <xdr:rowOff>135618</xdr:rowOff>
    </xdr:from>
    <xdr:to>
      <xdr:col>23</xdr:col>
      <xdr:colOff>295727</xdr:colOff>
      <xdr:row>44</xdr:row>
      <xdr:rowOff>10886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10AB20-1110-44B0-B810-A6B1C92DB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363763</xdr:colOff>
      <xdr:row>28</xdr:row>
      <xdr:rowOff>135617</xdr:rowOff>
    </xdr:from>
    <xdr:to>
      <xdr:col>31</xdr:col>
      <xdr:colOff>37192</xdr:colOff>
      <xdr:row>44</xdr:row>
      <xdr:rowOff>7710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E3ADD4-E8E4-4315-9E08-6B86002C4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186870</xdr:colOff>
      <xdr:row>28</xdr:row>
      <xdr:rowOff>122011</xdr:rowOff>
    </xdr:from>
    <xdr:to>
      <xdr:col>38</xdr:col>
      <xdr:colOff>472620</xdr:colOff>
      <xdr:row>43</xdr:row>
      <xdr:rowOff>174172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527D92-F8FD-4D27-8456-521AF094C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13606</xdr:colOff>
      <xdr:row>44</xdr:row>
      <xdr:rowOff>149679</xdr:rowOff>
    </xdr:from>
    <xdr:to>
      <xdr:col>28</xdr:col>
      <xdr:colOff>3627</xdr:colOff>
      <xdr:row>71</xdr:row>
      <xdr:rowOff>156484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67A7921-7534-4349-832D-94892EDC5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76199</xdr:colOff>
      <xdr:row>44</xdr:row>
      <xdr:rowOff>136071</xdr:rowOff>
    </xdr:from>
    <xdr:to>
      <xdr:col>35</xdr:col>
      <xdr:colOff>416832</xdr:colOff>
      <xdr:row>71</xdr:row>
      <xdr:rowOff>150132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D45DFB5-99A1-4B79-81F0-D6072FBEB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503464</xdr:colOff>
      <xdr:row>44</xdr:row>
      <xdr:rowOff>122464</xdr:rowOff>
    </xdr:from>
    <xdr:to>
      <xdr:col>43</xdr:col>
      <xdr:colOff>187779</xdr:colOff>
      <xdr:row>71</xdr:row>
      <xdr:rowOff>116568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CB1B380-5C73-4C05-A71A-8E4CB6776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244929</xdr:colOff>
      <xdr:row>44</xdr:row>
      <xdr:rowOff>108856</xdr:rowOff>
    </xdr:from>
    <xdr:to>
      <xdr:col>50</xdr:col>
      <xdr:colOff>513445</xdr:colOff>
      <xdr:row>71</xdr:row>
      <xdr:rowOff>139699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59770E9-B229-4134-8954-E0EC4B945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40821</xdr:colOff>
      <xdr:row>72</xdr:row>
      <xdr:rowOff>136072</xdr:rowOff>
    </xdr:from>
    <xdr:to>
      <xdr:col>23</xdr:col>
      <xdr:colOff>326571</xdr:colOff>
      <xdr:row>88</xdr:row>
      <xdr:rowOff>45811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5C9C990-217A-4DD9-87A5-D0CD9365D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394606</xdr:colOff>
      <xdr:row>72</xdr:row>
      <xdr:rowOff>149679</xdr:rowOff>
    </xdr:from>
    <xdr:to>
      <xdr:col>31</xdr:col>
      <xdr:colOff>68035</xdr:colOff>
      <xdr:row>88</xdr:row>
      <xdr:rowOff>65768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432555B-E045-4DF4-BEF6-682CBC8BA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31</xdr:col>
      <xdr:colOff>105682</xdr:colOff>
      <xdr:row>72</xdr:row>
      <xdr:rowOff>149679</xdr:rowOff>
    </xdr:from>
    <xdr:to>
      <xdr:col>38</xdr:col>
      <xdr:colOff>391432</xdr:colOff>
      <xdr:row>88</xdr:row>
      <xdr:rowOff>56243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A57B3DD-27D3-4D8A-9C6A-EC6EB11FA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66"/>
  <sheetViews>
    <sheetView topLeftCell="G10" zoomScale="90" zoomScaleNormal="90" workbookViewId="0">
      <selection activeCell="H67" sqref="H67"/>
    </sheetView>
  </sheetViews>
  <sheetFormatPr defaultRowHeight="16.5" x14ac:dyDescent="0.3"/>
  <cols>
    <col min="1" max="1" width="13.85546875" style="2" customWidth="1"/>
    <col min="2" max="2" width="12.42578125" style="2" bestFit="1" customWidth="1"/>
    <col min="3" max="3" width="14.5703125" style="15" customWidth="1"/>
    <col min="4" max="4" width="11.42578125" style="15" customWidth="1"/>
    <col min="5" max="5" width="8.7109375" style="15"/>
    <col min="6" max="6" width="9.28515625" style="15" customWidth="1"/>
    <col min="7" max="7" width="10.5703125" style="15" customWidth="1"/>
    <col min="8" max="10" width="8.7109375" style="15"/>
    <col min="12" max="12" width="9.5703125" customWidth="1"/>
    <col min="14" max="14" width="9.42578125" customWidth="1"/>
    <col min="16" max="16" width="13.5703125" customWidth="1"/>
    <col min="17" max="17" width="11.5703125" customWidth="1"/>
  </cols>
  <sheetData>
    <row r="2" spans="1:28" x14ac:dyDescent="0.3">
      <c r="A2" s="3" t="s">
        <v>10</v>
      </c>
      <c r="H2" s="78"/>
    </row>
    <row r="3" spans="1:28" x14ac:dyDescent="0.3">
      <c r="A3" s="3" t="s">
        <v>11</v>
      </c>
      <c r="H3" s="78"/>
    </row>
    <row r="4" spans="1:28" x14ac:dyDescent="0.3">
      <c r="A4" s="3" t="s">
        <v>47</v>
      </c>
      <c r="B4" s="4"/>
      <c r="H4" s="78"/>
      <c r="K4" s="1"/>
    </row>
    <row r="5" spans="1:28" ht="17.25" thickBot="1" x14ac:dyDescent="0.35">
      <c r="B5" s="4"/>
      <c r="H5" s="78"/>
      <c r="K5" s="1"/>
    </row>
    <row r="6" spans="1:28" ht="50.25" thickBot="1" x14ac:dyDescent="0.3">
      <c r="A6" s="23" t="s">
        <v>4</v>
      </c>
      <c r="B6" s="24" t="s">
        <v>3</v>
      </c>
      <c r="C6" s="24" t="s">
        <v>1</v>
      </c>
      <c r="D6" s="24" t="s">
        <v>5</v>
      </c>
      <c r="E6" s="24" t="s">
        <v>2</v>
      </c>
      <c r="F6" s="24" t="s">
        <v>35</v>
      </c>
      <c r="G6" s="25" t="s">
        <v>6</v>
      </c>
      <c r="H6" s="25" t="s">
        <v>7</v>
      </c>
      <c r="I6" s="25" t="s">
        <v>8</v>
      </c>
      <c r="J6" s="26" t="s">
        <v>9</v>
      </c>
      <c r="L6" s="76" t="s">
        <v>12</v>
      </c>
    </row>
    <row r="7" spans="1:28" ht="17.25" thickBot="1" x14ac:dyDescent="0.35">
      <c r="A7" s="77">
        <v>44489</v>
      </c>
      <c r="B7" s="19">
        <v>44489</v>
      </c>
      <c r="C7" s="20" t="s">
        <v>18</v>
      </c>
      <c r="D7" s="20" t="s">
        <v>19</v>
      </c>
      <c r="E7" s="20">
        <v>10</v>
      </c>
      <c r="F7" s="20">
        <v>1</v>
      </c>
      <c r="G7" s="20">
        <v>880</v>
      </c>
      <c r="H7" s="20">
        <v>282752</v>
      </c>
      <c r="I7" s="20">
        <f>(G7*$AA$14)+$AA$15</f>
        <v>0.4789357732109456</v>
      </c>
      <c r="J7" s="21">
        <f t="shared" ref="J7:J38" si="0">(H7*$AA$29)+$AA$30</f>
        <v>2143.633132218547</v>
      </c>
      <c r="L7" s="124" t="s">
        <v>13</v>
      </c>
      <c r="M7" s="125" t="s">
        <v>14</v>
      </c>
      <c r="N7" s="125" t="s">
        <v>0</v>
      </c>
      <c r="O7" s="126" t="s">
        <v>26</v>
      </c>
      <c r="P7" s="127" t="s">
        <v>27</v>
      </c>
    </row>
    <row r="8" spans="1:28" x14ac:dyDescent="0.3">
      <c r="A8" s="85">
        <v>44489</v>
      </c>
      <c r="B8" s="13">
        <v>44489</v>
      </c>
      <c r="C8" s="16" t="s">
        <v>18</v>
      </c>
      <c r="D8" s="16" t="s">
        <v>19</v>
      </c>
      <c r="E8" s="16">
        <v>20</v>
      </c>
      <c r="F8" s="16">
        <v>2</v>
      </c>
      <c r="G8" s="16">
        <v>507</v>
      </c>
      <c r="H8" s="16">
        <v>576966</v>
      </c>
      <c r="I8" s="16">
        <f t="shared" ref="I8:I66" si="1">(G8*$AA$14)+$AA$15</f>
        <v>-0.20714022422724732</v>
      </c>
      <c r="J8" s="17">
        <f t="shared" si="0"/>
        <v>4702.2648490138772</v>
      </c>
      <c r="L8" s="122" t="s">
        <v>28</v>
      </c>
      <c r="M8" s="53">
        <v>7.5</v>
      </c>
      <c r="N8" s="53">
        <v>4149</v>
      </c>
      <c r="O8" s="54">
        <f>AVERAGE(M8:M10)</f>
        <v>7.5</v>
      </c>
      <c r="P8" s="55">
        <f>AVERAGE(N8:N10)</f>
        <v>4625</v>
      </c>
    </row>
    <row r="9" spans="1:28" x14ac:dyDescent="0.3">
      <c r="A9" s="85">
        <v>44489</v>
      </c>
      <c r="B9" s="13">
        <v>44489</v>
      </c>
      <c r="C9" s="16" t="s">
        <v>18</v>
      </c>
      <c r="D9" s="16" t="s">
        <v>19</v>
      </c>
      <c r="E9" s="16">
        <v>35</v>
      </c>
      <c r="F9" s="16">
        <v>3</v>
      </c>
      <c r="G9" s="16">
        <v>488</v>
      </c>
      <c r="H9" s="16">
        <v>818006</v>
      </c>
      <c r="I9" s="16">
        <f t="shared" si="1"/>
        <v>-0.24208779514232959</v>
      </c>
      <c r="J9" s="17">
        <f t="shared" si="0"/>
        <v>6798.4689352108171</v>
      </c>
      <c r="L9" s="123" t="s">
        <v>28</v>
      </c>
      <c r="M9" s="56">
        <v>7.5</v>
      </c>
      <c r="N9" s="56">
        <v>4862</v>
      </c>
      <c r="O9" s="57"/>
      <c r="P9" s="58"/>
      <c r="AB9" s="2"/>
    </row>
    <row r="10" spans="1:28" ht="17.25" thickBot="1" x14ac:dyDescent="0.35">
      <c r="A10" s="85">
        <v>44489</v>
      </c>
      <c r="B10" s="13">
        <v>44489</v>
      </c>
      <c r="C10" s="16" t="s">
        <v>18</v>
      </c>
      <c r="D10" s="16" t="s">
        <v>19</v>
      </c>
      <c r="E10" s="16">
        <v>50</v>
      </c>
      <c r="F10" s="16">
        <v>4</v>
      </c>
      <c r="G10" s="16">
        <v>340</v>
      </c>
      <c r="H10" s="16">
        <v>1640151</v>
      </c>
      <c r="I10" s="16">
        <f t="shared" si="1"/>
        <v>-0.51431097911244372</v>
      </c>
      <c r="J10" s="17">
        <f t="shared" si="0"/>
        <v>13948.251993816788</v>
      </c>
      <c r="L10" s="128" t="s">
        <v>28</v>
      </c>
      <c r="M10" s="65">
        <v>7.5</v>
      </c>
      <c r="N10" s="59">
        <v>4864</v>
      </c>
      <c r="O10" s="59"/>
      <c r="P10" s="60"/>
      <c r="AB10" s="2"/>
    </row>
    <row r="11" spans="1:28" x14ac:dyDescent="0.3">
      <c r="A11" s="86">
        <v>44489</v>
      </c>
      <c r="B11" s="28">
        <v>44489</v>
      </c>
      <c r="C11" s="29" t="s">
        <v>18</v>
      </c>
      <c r="D11" s="29" t="s">
        <v>20</v>
      </c>
      <c r="E11" s="29">
        <v>10</v>
      </c>
      <c r="F11" s="29">
        <v>5</v>
      </c>
      <c r="G11" s="29">
        <v>998</v>
      </c>
      <c r="H11" s="29">
        <v>403243</v>
      </c>
      <c r="I11" s="29">
        <f t="shared" si="1"/>
        <v>0.6959785820519826</v>
      </c>
      <c r="J11" s="30">
        <f t="shared" si="0"/>
        <v>3191.4829768499585</v>
      </c>
      <c r="L11" s="64" t="s">
        <v>29</v>
      </c>
      <c r="M11" s="53">
        <v>5</v>
      </c>
      <c r="N11" s="53">
        <v>3280</v>
      </c>
      <c r="O11" s="54">
        <f>AVERAGE(M11:M13)</f>
        <v>5</v>
      </c>
      <c r="P11" s="55">
        <f>AVERAGE(N11:N13)</f>
        <v>3361.3333333333335</v>
      </c>
      <c r="AB11" s="2"/>
    </row>
    <row r="12" spans="1:28" x14ac:dyDescent="0.3">
      <c r="A12" s="87">
        <v>44489</v>
      </c>
      <c r="B12" s="31">
        <v>44489</v>
      </c>
      <c r="C12" s="32" t="s">
        <v>18</v>
      </c>
      <c r="D12" s="32" t="s">
        <v>20</v>
      </c>
      <c r="E12" s="32">
        <v>20</v>
      </c>
      <c r="F12" s="32">
        <v>6</v>
      </c>
      <c r="G12" s="32">
        <v>660</v>
      </c>
      <c r="H12" s="32">
        <v>1211322</v>
      </c>
      <c r="I12" s="32">
        <f t="shared" si="1"/>
        <v>7.4279688931046195E-2</v>
      </c>
      <c r="J12" s="33">
        <f t="shared" si="0"/>
        <v>10218.941082433832</v>
      </c>
      <c r="L12" s="9" t="s">
        <v>29</v>
      </c>
      <c r="M12" s="56">
        <v>5</v>
      </c>
      <c r="N12" s="56">
        <v>3449</v>
      </c>
      <c r="O12" s="57"/>
      <c r="P12" s="58"/>
      <c r="AB12" s="2"/>
    </row>
    <row r="13" spans="1:28" ht="17.25" thickBot="1" x14ac:dyDescent="0.35">
      <c r="A13" s="87">
        <v>44489</v>
      </c>
      <c r="B13" s="31">
        <v>44489</v>
      </c>
      <c r="C13" s="32" t="s">
        <v>18</v>
      </c>
      <c r="D13" s="32" t="s">
        <v>20</v>
      </c>
      <c r="E13" s="32">
        <v>35</v>
      </c>
      <c r="F13" s="32">
        <v>7</v>
      </c>
      <c r="G13" s="32">
        <v>580</v>
      </c>
      <c r="H13" s="32">
        <v>2850917</v>
      </c>
      <c r="I13" s="32">
        <f t="shared" si="1"/>
        <v>-7.2867978079826257E-2</v>
      </c>
      <c r="J13" s="33">
        <f t="shared" si="0"/>
        <v>24477.677137478935</v>
      </c>
      <c r="L13" s="11" t="s">
        <v>29</v>
      </c>
      <c r="M13" s="65">
        <v>5</v>
      </c>
      <c r="N13" s="65">
        <v>3355</v>
      </c>
      <c r="O13" s="59"/>
      <c r="P13" s="60"/>
      <c r="AB13" s="2"/>
    </row>
    <row r="14" spans="1:28" ht="17.25" thickBot="1" x14ac:dyDescent="0.35">
      <c r="A14" s="87">
        <v>44489</v>
      </c>
      <c r="B14" s="31">
        <v>44489</v>
      </c>
      <c r="C14" s="32" t="s">
        <v>18</v>
      </c>
      <c r="D14" s="32" t="s">
        <v>20</v>
      </c>
      <c r="E14" s="32">
        <v>50</v>
      </c>
      <c r="F14" s="32">
        <v>8</v>
      </c>
      <c r="G14" s="32">
        <v>441</v>
      </c>
      <c r="H14" s="32">
        <v>2115126</v>
      </c>
      <c r="I14" s="32">
        <f t="shared" si="1"/>
        <v>-0.32853704951121721</v>
      </c>
      <c r="J14" s="33">
        <f t="shared" si="0"/>
        <v>18078.871541781406</v>
      </c>
      <c r="L14" s="64" t="s">
        <v>30</v>
      </c>
      <c r="M14" s="53">
        <v>3</v>
      </c>
      <c r="N14" s="53">
        <v>2305</v>
      </c>
      <c r="O14" s="54">
        <f>AVERAGE(M14:M16)</f>
        <v>3</v>
      </c>
      <c r="P14" s="55">
        <f>AVERAGE(N14:N16)</f>
        <v>2367.6666666666665</v>
      </c>
      <c r="Z14" s="3" t="s">
        <v>15</v>
      </c>
      <c r="AA14" s="2">
        <f>SLOPE(O8:O22,P8:P22)</f>
        <v>1.8393458376359062E-3</v>
      </c>
      <c r="AB14" s="2"/>
    </row>
    <row r="15" spans="1:28" x14ac:dyDescent="0.3">
      <c r="A15" s="77">
        <v>44489</v>
      </c>
      <c r="B15" s="19">
        <v>44489</v>
      </c>
      <c r="C15" s="20" t="s">
        <v>18</v>
      </c>
      <c r="D15" s="20" t="s">
        <v>21</v>
      </c>
      <c r="E15" s="20">
        <v>10</v>
      </c>
      <c r="F15" s="20">
        <v>9</v>
      </c>
      <c r="G15" s="20">
        <v>838</v>
      </c>
      <c r="H15" s="20">
        <v>317455</v>
      </c>
      <c r="I15" s="20">
        <f t="shared" si="1"/>
        <v>0.40168324803023769</v>
      </c>
      <c r="J15" s="21">
        <f t="shared" si="0"/>
        <v>2445.4277322985849</v>
      </c>
      <c r="L15" s="9" t="s">
        <v>30</v>
      </c>
      <c r="M15" s="56">
        <v>3</v>
      </c>
      <c r="N15" s="56">
        <v>2435</v>
      </c>
      <c r="O15" s="57"/>
      <c r="P15" s="58"/>
      <c r="Z15" s="3" t="s">
        <v>16</v>
      </c>
      <c r="AA15" s="2">
        <f>INTERCEPT(O8:O22,P8:P22)</f>
        <v>-1.1396885639086518</v>
      </c>
      <c r="AB15" s="2"/>
    </row>
    <row r="16" spans="1:28" ht="17.25" thickBot="1" x14ac:dyDescent="0.35">
      <c r="A16" s="85">
        <v>44489</v>
      </c>
      <c r="B16" s="13">
        <v>44489</v>
      </c>
      <c r="C16" s="16" t="s">
        <v>18</v>
      </c>
      <c r="D16" s="16" t="s">
        <v>21</v>
      </c>
      <c r="E16" s="16">
        <v>20</v>
      </c>
      <c r="F16" s="16">
        <v>10</v>
      </c>
      <c r="G16" s="16">
        <v>496</v>
      </c>
      <c r="H16" s="16">
        <v>857563</v>
      </c>
      <c r="I16" s="16">
        <f t="shared" si="1"/>
        <v>-0.2273730284412423</v>
      </c>
      <c r="J16" s="17">
        <f t="shared" si="0"/>
        <v>7142.4763407770815</v>
      </c>
      <c r="L16" s="11" t="s">
        <v>30</v>
      </c>
      <c r="M16" s="65">
        <v>3</v>
      </c>
      <c r="N16" s="65">
        <v>2363</v>
      </c>
      <c r="O16" s="59"/>
      <c r="P16" s="60"/>
      <c r="Z16" s="3" t="s">
        <v>17</v>
      </c>
      <c r="AA16" s="2">
        <f>RSQ(O8:O22,P8:P22)</f>
        <v>0.99633179269656713</v>
      </c>
      <c r="AB16" s="2"/>
    </row>
    <row r="17" spans="1:28" x14ac:dyDescent="0.3">
      <c r="A17" s="85">
        <v>44489</v>
      </c>
      <c r="B17" s="13">
        <v>44489</v>
      </c>
      <c r="C17" s="16" t="s">
        <v>18</v>
      </c>
      <c r="D17" s="16" t="s">
        <v>21</v>
      </c>
      <c r="E17" s="16">
        <v>35</v>
      </c>
      <c r="F17" s="16">
        <v>11</v>
      </c>
      <c r="G17" s="16">
        <v>516</v>
      </c>
      <c r="H17" s="16">
        <v>745470</v>
      </c>
      <c r="I17" s="16">
        <f t="shared" si="1"/>
        <v>-0.19058611168852424</v>
      </c>
      <c r="J17" s="17">
        <f t="shared" si="0"/>
        <v>6167.6596936061824</v>
      </c>
      <c r="L17" s="64" t="s">
        <v>31</v>
      </c>
      <c r="M17" s="53">
        <v>1.5</v>
      </c>
      <c r="N17" s="53">
        <v>1461</v>
      </c>
      <c r="O17" s="54">
        <f>AVERAGE(M17:M19)</f>
        <v>1.5</v>
      </c>
      <c r="P17" s="55">
        <f>AVERAGE(N17:N19)</f>
        <v>1479.6666666666667</v>
      </c>
      <c r="Z17" s="2"/>
      <c r="AA17" s="2"/>
      <c r="AB17" s="2"/>
    </row>
    <row r="18" spans="1:28" ht="17.25" thickBot="1" x14ac:dyDescent="0.35">
      <c r="A18" s="88">
        <v>44489</v>
      </c>
      <c r="B18" s="34">
        <v>44489</v>
      </c>
      <c r="C18" s="35" t="s">
        <v>18</v>
      </c>
      <c r="D18" s="35" t="s">
        <v>21</v>
      </c>
      <c r="E18" s="35">
        <v>50</v>
      </c>
      <c r="F18" s="35">
        <v>12</v>
      </c>
      <c r="G18" s="35">
        <v>393</v>
      </c>
      <c r="H18" s="35">
        <v>1367695</v>
      </c>
      <c r="I18" s="35">
        <f t="shared" si="1"/>
        <v>-0.41682564971774072</v>
      </c>
      <c r="J18" s="36">
        <f t="shared" si="0"/>
        <v>11578.838699306029</v>
      </c>
      <c r="L18" s="9" t="s">
        <v>31</v>
      </c>
      <c r="M18" s="56">
        <v>1.5</v>
      </c>
      <c r="N18" s="56">
        <v>1461</v>
      </c>
      <c r="O18" s="57"/>
      <c r="P18" s="58"/>
      <c r="Z18" s="2"/>
      <c r="AA18" s="2"/>
      <c r="AB18" s="2"/>
    </row>
    <row r="19" spans="1:28" ht="17.25" thickBot="1" x14ac:dyDescent="0.35">
      <c r="A19" s="77">
        <v>44489</v>
      </c>
      <c r="B19" s="19">
        <v>44489</v>
      </c>
      <c r="C19" s="20" t="s">
        <v>18</v>
      </c>
      <c r="D19" s="20" t="s">
        <v>22</v>
      </c>
      <c r="E19" s="20">
        <v>10</v>
      </c>
      <c r="F19" s="20">
        <v>13</v>
      </c>
      <c r="G19" s="20">
        <v>617</v>
      </c>
      <c r="H19" s="20">
        <v>360148</v>
      </c>
      <c r="I19" s="20">
        <f t="shared" si="1"/>
        <v>-4.8121820872977228E-3</v>
      </c>
      <c r="J19" s="21">
        <f t="shared" si="0"/>
        <v>2816.7073583025922</v>
      </c>
      <c r="L19" s="11" t="s">
        <v>31</v>
      </c>
      <c r="M19" s="65">
        <v>1.5</v>
      </c>
      <c r="N19" s="65">
        <v>1517</v>
      </c>
      <c r="O19" s="59"/>
      <c r="P19" s="60"/>
      <c r="Z19" s="2"/>
      <c r="AA19" s="2"/>
      <c r="AB19" s="2"/>
    </row>
    <row r="20" spans="1:28" x14ac:dyDescent="0.3">
      <c r="A20" s="85">
        <v>44489</v>
      </c>
      <c r="B20" s="13">
        <v>44489</v>
      </c>
      <c r="C20" s="16" t="s">
        <v>18</v>
      </c>
      <c r="D20" s="16" t="s">
        <v>22</v>
      </c>
      <c r="E20" s="16">
        <v>20</v>
      </c>
      <c r="F20" s="16">
        <v>14</v>
      </c>
      <c r="G20" s="16">
        <v>397</v>
      </c>
      <c r="H20" s="16">
        <v>831071</v>
      </c>
      <c r="I20" s="16">
        <f t="shared" si="1"/>
        <v>-0.40946826636719702</v>
      </c>
      <c r="J20" s="17">
        <f t="shared" si="0"/>
        <v>6912.0886928699729</v>
      </c>
      <c r="L20" s="7" t="s">
        <v>32</v>
      </c>
      <c r="M20" s="61">
        <v>0.5</v>
      </c>
      <c r="N20" s="61">
        <v>780</v>
      </c>
      <c r="O20" s="62">
        <f>AVERAGE(M20:M22)</f>
        <v>0.5</v>
      </c>
      <c r="P20" s="63">
        <f>AVERAGE(N20:N22)</f>
        <v>778.66666666666663</v>
      </c>
      <c r="Z20" s="2"/>
      <c r="AA20" s="2"/>
      <c r="AB20" s="2"/>
    </row>
    <row r="21" spans="1:28" x14ac:dyDescent="0.3">
      <c r="A21" s="85">
        <v>44489</v>
      </c>
      <c r="B21" s="13">
        <v>44489</v>
      </c>
      <c r="C21" s="16" t="s">
        <v>18</v>
      </c>
      <c r="D21" s="16" t="s">
        <v>22</v>
      </c>
      <c r="E21" s="16">
        <v>35</v>
      </c>
      <c r="F21" s="16">
        <v>15</v>
      </c>
      <c r="G21" s="16">
        <v>484</v>
      </c>
      <c r="H21" s="16">
        <v>942515</v>
      </c>
      <c r="I21" s="16">
        <f t="shared" si="1"/>
        <v>-0.24944517849287318</v>
      </c>
      <c r="J21" s="17">
        <f t="shared" si="0"/>
        <v>7881.2613122780876</v>
      </c>
      <c r="L21" s="9" t="s">
        <v>32</v>
      </c>
      <c r="M21" s="56">
        <v>0.5</v>
      </c>
      <c r="N21" s="56">
        <v>767</v>
      </c>
      <c r="O21" s="57"/>
      <c r="P21" s="58"/>
      <c r="Z21" s="2"/>
      <c r="AA21" s="2"/>
      <c r="AB21" s="2"/>
    </row>
    <row r="22" spans="1:28" ht="17.25" thickBot="1" x14ac:dyDescent="0.35">
      <c r="A22" s="85">
        <v>44489</v>
      </c>
      <c r="B22" s="13">
        <v>44489</v>
      </c>
      <c r="C22" s="16" t="s">
        <v>18</v>
      </c>
      <c r="D22" s="16" t="s">
        <v>22</v>
      </c>
      <c r="E22" s="16">
        <v>50</v>
      </c>
      <c r="F22" s="16">
        <v>16</v>
      </c>
      <c r="G22" s="16">
        <v>428</v>
      </c>
      <c r="H22" s="16">
        <v>1047509</v>
      </c>
      <c r="I22" s="16">
        <f t="shared" si="1"/>
        <v>-0.35244854540048398</v>
      </c>
      <c r="J22" s="17">
        <f t="shared" si="0"/>
        <v>8794.3415140129091</v>
      </c>
      <c r="L22" s="11" t="s">
        <v>32</v>
      </c>
      <c r="M22" s="65">
        <v>0.5</v>
      </c>
      <c r="N22" s="65">
        <v>789</v>
      </c>
      <c r="O22" s="59"/>
      <c r="P22" s="60"/>
      <c r="Z22" s="2"/>
      <c r="AA22" s="2"/>
      <c r="AB22" s="2"/>
    </row>
    <row r="23" spans="1:28" x14ac:dyDescent="0.3">
      <c r="A23" s="86">
        <v>44489</v>
      </c>
      <c r="B23" s="28">
        <v>44489</v>
      </c>
      <c r="C23" s="29" t="s">
        <v>18</v>
      </c>
      <c r="D23" s="29" t="s">
        <v>23</v>
      </c>
      <c r="E23" s="29">
        <v>10</v>
      </c>
      <c r="F23" s="29">
        <v>17</v>
      </c>
      <c r="G23" s="29">
        <v>889</v>
      </c>
      <c r="H23" s="29">
        <v>177772</v>
      </c>
      <c r="I23" s="29">
        <f t="shared" si="1"/>
        <v>0.49548988574966879</v>
      </c>
      <c r="J23" s="30">
        <f t="shared" si="0"/>
        <v>1230.6746814678218</v>
      </c>
      <c r="N23" s="2"/>
      <c r="O23" s="2"/>
      <c r="P23" s="2"/>
      <c r="Z23" s="2"/>
      <c r="AA23" s="2"/>
      <c r="AB23" s="2"/>
    </row>
    <row r="24" spans="1:28" ht="17.25" thickBot="1" x14ac:dyDescent="0.35">
      <c r="A24" s="87">
        <v>44489</v>
      </c>
      <c r="B24" s="31">
        <v>44489</v>
      </c>
      <c r="C24" s="32" t="s">
        <v>18</v>
      </c>
      <c r="D24" s="32" t="s">
        <v>23</v>
      </c>
      <c r="E24" s="32">
        <v>20</v>
      </c>
      <c r="F24" s="32">
        <v>18</v>
      </c>
      <c r="G24" s="32">
        <v>432</v>
      </c>
      <c r="H24" s="32">
        <v>799206</v>
      </c>
      <c r="I24" s="32">
        <f t="shared" si="1"/>
        <v>-0.34509116204994028</v>
      </c>
      <c r="J24" s="33">
        <f t="shared" si="0"/>
        <v>6634.9747565661837</v>
      </c>
      <c r="L24" s="47" t="s">
        <v>33</v>
      </c>
      <c r="N24" s="66"/>
      <c r="O24" s="66"/>
      <c r="P24" s="2"/>
      <c r="Z24" s="2"/>
      <c r="AA24" s="2"/>
      <c r="AB24" s="2"/>
    </row>
    <row r="25" spans="1:28" ht="17.25" thickBot="1" x14ac:dyDescent="0.35">
      <c r="A25" s="87">
        <v>44489</v>
      </c>
      <c r="B25" s="31">
        <v>44489</v>
      </c>
      <c r="C25" s="32" t="s">
        <v>18</v>
      </c>
      <c r="D25" s="32" t="s">
        <v>23</v>
      </c>
      <c r="E25" s="32">
        <v>35</v>
      </c>
      <c r="F25" s="32">
        <v>19</v>
      </c>
      <c r="G25" s="32">
        <v>288</v>
      </c>
      <c r="H25" s="32">
        <v>1539902</v>
      </c>
      <c r="I25" s="32">
        <f t="shared" si="1"/>
        <v>-0.60995696266951083</v>
      </c>
      <c r="J25" s="33">
        <f t="shared" si="0"/>
        <v>13076.436679192007</v>
      </c>
      <c r="L25" s="48" t="s">
        <v>13</v>
      </c>
      <c r="M25" s="49" t="s">
        <v>14</v>
      </c>
      <c r="N25" s="49" t="s">
        <v>0</v>
      </c>
      <c r="O25" s="50" t="s">
        <v>26</v>
      </c>
      <c r="P25" s="51" t="s">
        <v>27</v>
      </c>
      <c r="Z25" s="2"/>
      <c r="AA25" s="2"/>
      <c r="AB25" s="2"/>
    </row>
    <row r="26" spans="1:28" ht="17.25" thickBot="1" x14ac:dyDescent="0.35">
      <c r="A26" s="89">
        <v>44489</v>
      </c>
      <c r="B26" s="38">
        <v>44489</v>
      </c>
      <c r="C26" s="39" t="s">
        <v>18</v>
      </c>
      <c r="D26" s="39" t="s">
        <v>23</v>
      </c>
      <c r="E26" s="39">
        <v>50</v>
      </c>
      <c r="F26" s="39">
        <v>20</v>
      </c>
      <c r="G26" s="40">
        <v>323</v>
      </c>
      <c r="H26" s="40">
        <v>1712110</v>
      </c>
      <c r="I26" s="39">
        <f t="shared" si="1"/>
        <v>-0.54557985835225409</v>
      </c>
      <c r="J26" s="41">
        <f t="shared" si="0"/>
        <v>14574.04335557685</v>
      </c>
      <c r="L26" s="122" t="s">
        <v>28</v>
      </c>
      <c r="M26" s="52">
        <v>1375</v>
      </c>
      <c r="N26" s="52">
        <v>195350</v>
      </c>
      <c r="O26" s="67">
        <f>AVERAGE(M26:M28)</f>
        <v>1375</v>
      </c>
      <c r="P26" s="68">
        <f>AVERAGE(N26:N28)</f>
        <v>219566</v>
      </c>
      <c r="Z26" s="2"/>
      <c r="AA26" s="2"/>
      <c r="AB26" s="2"/>
    </row>
    <row r="27" spans="1:28" x14ac:dyDescent="0.3">
      <c r="A27" s="77">
        <v>44489</v>
      </c>
      <c r="B27" s="27">
        <v>44489</v>
      </c>
      <c r="C27" s="22" t="s">
        <v>24</v>
      </c>
      <c r="D27" s="20" t="s">
        <v>19</v>
      </c>
      <c r="E27" s="20">
        <v>10</v>
      </c>
      <c r="F27" s="20">
        <v>21</v>
      </c>
      <c r="G27" s="22">
        <v>707</v>
      </c>
      <c r="H27" s="22">
        <v>408834</v>
      </c>
      <c r="I27" s="20">
        <f t="shared" si="1"/>
        <v>0.16072894329993392</v>
      </c>
      <c r="J27" s="21">
        <f t="shared" si="0"/>
        <v>3240.1051019990086</v>
      </c>
      <c r="L27" s="123" t="s">
        <v>28</v>
      </c>
      <c r="M27" s="69">
        <v>1375</v>
      </c>
      <c r="N27" s="69">
        <v>232071</v>
      </c>
      <c r="O27" s="70"/>
      <c r="P27" s="71"/>
      <c r="Z27" s="2"/>
      <c r="AA27" s="2"/>
      <c r="AB27" s="2"/>
    </row>
    <row r="28" spans="1:28" ht="17.25" thickBot="1" x14ac:dyDescent="0.35">
      <c r="A28" s="85">
        <v>44489</v>
      </c>
      <c r="B28" s="14">
        <v>44489</v>
      </c>
      <c r="C28" s="18" t="s">
        <v>24</v>
      </c>
      <c r="D28" s="16" t="s">
        <v>19</v>
      </c>
      <c r="E28" s="16">
        <v>20</v>
      </c>
      <c r="F28" s="16">
        <v>22</v>
      </c>
      <c r="G28" s="18">
        <v>399</v>
      </c>
      <c r="H28" s="18">
        <v>812940</v>
      </c>
      <c r="I28" s="16">
        <f t="shared" si="1"/>
        <v>-0.40578957469192523</v>
      </c>
      <c r="J28" s="17">
        <f t="shared" si="0"/>
        <v>6754.4124719654064</v>
      </c>
      <c r="L28" s="128" t="s">
        <v>28</v>
      </c>
      <c r="M28" s="72">
        <v>1375</v>
      </c>
      <c r="N28" s="72">
        <v>231277</v>
      </c>
      <c r="O28" s="73"/>
      <c r="P28" s="74"/>
      <c r="Z28" s="2"/>
      <c r="AA28" s="2"/>
      <c r="AB28" s="2"/>
    </row>
    <row r="29" spans="1:28" x14ac:dyDescent="0.3">
      <c r="A29" s="85">
        <v>44489</v>
      </c>
      <c r="B29" s="14">
        <v>44489</v>
      </c>
      <c r="C29" s="18" t="s">
        <v>24</v>
      </c>
      <c r="D29" s="16" t="s">
        <v>19</v>
      </c>
      <c r="E29" s="16">
        <v>35</v>
      </c>
      <c r="F29" s="16">
        <v>23</v>
      </c>
      <c r="G29" s="18">
        <v>417</v>
      </c>
      <c r="H29" s="18">
        <v>1135097</v>
      </c>
      <c r="I29" s="16">
        <f t="shared" si="1"/>
        <v>-0.37268134961447896</v>
      </c>
      <c r="J29" s="17">
        <f t="shared" si="0"/>
        <v>9556.0504565196206</v>
      </c>
      <c r="L29" s="64" t="s">
        <v>29</v>
      </c>
      <c r="M29" s="52">
        <v>916.7</v>
      </c>
      <c r="N29" s="52">
        <v>150597</v>
      </c>
      <c r="O29" s="67">
        <f>AVERAGE(M29:M31)</f>
        <v>916.70000000000016</v>
      </c>
      <c r="P29" s="68">
        <f>AVERAGE(N29:N31)</f>
        <v>157900.66666666666</v>
      </c>
      <c r="Z29" s="3" t="s">
        <v>15</v>
      </c>
      <c r="AA29" s="2">
        <f>SLOPE(O26:O43,P26:P43)</f>
        <v>8.6964988640762519E-3</v>
      </c>
      <c r="AB29" s="2"/>
    </row>
    <row r="30" spans="1:28" ht="17.25" thickBot="1" x14ac:dyDescent="0.35">
      <c r="A30" s="88">
        <v>44489</v>
      </c>
      <c r="B30" s="42">
        <v>44489</v>
      </c>
      <c r="C30" s="43" t="s">
        <v>24</v>
      </c>
      <c r="D30" s="35" t="s">
        <v>19</v>
      </c>
      <c r="E30" s="35">
        <v>50</v>
      </c>
      <c r="F30" s="35">
        <v>24</v>
      </c>
      <c r="G30" s="43">
        <v>265</v>
      </c>
      <c r="H30" s="43">
        <v>2196852</v>
      </c>
      <c r="I30" s="35">
        <f t="shared" si="1"/>
        <v>-0.65226191693513669</v>
      </c>
      <c r="J30" s="36">
        <f t="shared" si="0"/>
        <v>18789.601607946901</v>
      </c>
      <c r="L30" s="9" t="s">
        <v>29</v>
      </c>
      <c r="M30" s="69">
        <v>916.7</v>
      </c>
      <c r="N30" s="69">
        <v>162004</v>
      </c>
      <c r="O30" s="70"/>
      <c r="P30" s="71"/>
      <c r="Z30" s="3" t="s">
        <v>16</v>
      </c>
      <c r="AA30" s="2">
        <f>INTERCEPT(O26:O43,P26:P43)</f>
        <v>-315.31931459674161</v>
      </c>
      <c r="AB30" s="2"/>
    </row>
    <row r="31" spans="1:28" ht="17.25" thickBot="1" x14ac:dyDescent="0.35">
      <c r="A31" s="77">
        <v>44489</v>
      </c>
      <c r="B31" s="19">
        <v>44489</v>
      </c>
      <c r="C31" s="22" t="s">
        <v>24</v>
      </c>
      <c r="D31" s="20" t="s">
        <v>20</v>
      </c>
      <c r="E31" s="20">
        <v>10</v>
      </c>
      <c r="F31" s="20">
        <v>25</v>
      </c>
      <c r="G31" s="20">
        <v>613</v>
      </c>
      <c r="H31" s="20">
        <v>524040</v>
      </c>
      <c r="I31" s="20">
        <f t="shared" si="1"/>
        <v>-1.2169565437841312E-2</v>
      </c>
      <c r="J31" s="21">
        <f t="shared" si="0"/>
        <v>4241.9939501337776</v>
      </c>
      <c r="L31" s="11" t="s">
        <v>29</v>
      </c>
      <c r="M31" s="72">
        <v>916.7</v>
      </c>
      <c r="N31" s="72">
        <v>161101</v>
      </c>
      <c r="O31" s="73"/>
      <c r="P31" s="74"/>
      <c r="Z31" s="2" t="s">
        <v>17</v>
      </c>
      <c r="AA31" s="2">
        <f>RSQ(O26:O43,P26:P43)</f>
        <v>0.99811266734633741</v>
      </c>
    </row>
    <row r="32" spans="1:28" x14ac:dyDescent="0.3">
      <c r="A32" s="85">
        <v>44489</v>
      </c>
      <c r="B32" s="13">
        <v>44489</v>
      </c>
      <c r="C32" s="18" t="s">
        <v>24</v>
      </c>
      <c r="D32" s="16" t="s">
        <v>20</v>
      </c>
      <c r="E32" s="16">
        <v>20</v>
      </c>
      <c r="F32" s="16">
        <v>26</v>
      </c>
      <c r="G32" s="16">
        <v>418</v>
      </c>
      <c r="H32" s="16">
        <v>886716</v>
      </c>
      <c r="I32" s="16">
        <f t="shared" si="1"/>
        <v>-0.37084200377684307</v>
      </c>
      <c r="J32" s="17">
        <f t="shared" si="0"/>
        <v>7396.0053721614959</v>
      </c>
      <c r="L32" s="64" t="s">
        <v>30</v>
      </c>
      <c r="M32" s="52">
        <v>550</v>
      </c>
      <c r="N32" s="52">
        <v>104475</v>
      </c>
      <c r="O32" s="67">
        <f>AVERAGE(M32:M34)</f>
        <v>550</v>
      </c>
      <c r="P32" s="68">
        <f>AVERAGE(N32:N34)</f>
        <v>107604.66666666667</v>
      </c>
      <c r="Z32" s="2"/>
      <c r="AA32" s="2"/>
    </row>
    <row r="33" spans="1:27" x14ac:dyDescent="0.3">
      <c r="A33" s="85">
        <v>44489</v>
      </c>
      <c r="B33" s="13">
        <v>44489</v>
      </c>
      <c r="C33" s="18" t="s">
        <v>24</v>
      </c>
      <c r="D33" s="16" t="s">
        <v>20</v>
      </c>
      <c r="E33" s="16">
        <v>35</v>
      </c>
      <c r="F33" s="16">
        <v>27</v>
      </c>
      <c r="G33" s="16">
        <v>282</v>
      </c>
      <c r="H33" s="16">
        <v>1487192</v>
      </c>
      <c r="I33" s="16">
        <f t="shared" si="1"/>
        <v>-0.62099303769532621</v>
      </c>
      <c r="J33" s="17">
        <f t="shared" si="0"/>
        <v>12618.044224066547</v>
      </c>
      <c r="L33" s="9" t="s">
        <v>30</v>
      </c>
      <c r="M33" s="69">
        <v>550</v>
      </c>
      <c r="N33" s="69">
        <v>110357</v>
      </c>
      <c r="O33" s="70"/>
      <c r="P33" s="71"/>
      <c r="Z33" s="2"/>
      <c r="AA33" s="2"/>
    </row>
    <row r="34" spans="1:27" ht="17.25" thickBot="1" x14ac:dyDescent="0.35">
      <c r="A34" s="85">
        <v>44489</v>
      </c>
      <c r="B34" s="13">
        <v>44489</v>
      </c>
      <c r="C34" s="18" t="s">
        <v>24</v>
      </c>
      <c r="D34" s="16" t="s">
        <v>20</v>
      </c>
      <c r="E34" s="16">
        <v>50</v>
      </c>
      <c r="F34" s="16">
        <v>28</v>
      </c>
      <c r="G34" s="16">
        <v>264</v>
      </c>
      <c r="H34" s="16">
        <v>1989278</v>
      </c>
      <c r="I34" s="16">
        <f t="shared" si="1"/>
        <v>-0.65410126277277258</v>
      </c>
      <c r="J34" s="17">
        <f t="shared" si="0"/>
        <v>16984.434552735136</v>
      </c>
      <c r="L34" s="11" t="s">
        <v>30</v>
      </c>
      <c r="M34" s="72">
        <v>550</v>
      </c>
      <c r="N34" s="72">
        <v>107982</v>
      </c>
      <c r="O34" s="73"/>
      <c r="P34" s="74"/>
      <c r="Z34" s="2"/>
      <c r="AA34" s="2"/>
    </row>
    <row r="35" spans="1:27" x14ac:dyDescent="0.3">
      <c r="A35" s="86">
        <v>44489</v>
      </c>
      <c r="B35" s="28">
        <v>44489</v>
      </c>
      <c r="C35" s="44" t="s">
        <v>24</v>
      </c>
      <c r="D35" s="29" t="s">
        <v>21</v>
      </c>
      <c r="E35" s="29">
        <v>10</v>
      </c>
      <c r="F35" s="29">
        <v>29</v>
      </c>
      <c r="G35" s="29">
        <v>717</v>
      </c>
      <c r="H35" s="29">
        <v>411215</v>
      </c>
      <c r="I35" s="29">
        <f t="shared" si="1"/>
        <v>0.1791224016762929</v>
      </c>
      <c r="J35" s="30">
        <f t="shared" si="0"/>
        <v>3260.8114657943743</v>
      </c>
      <c r="L35" s="64" t="s">
        <v>31</v>
      </c>
      <c r="M35" s="52">
        <v>275</v>
      </c>
      <c r="N35" s="52">
        <v>63850</v>
      </c>
      <c r="O35" s="67">
        <f>AVERAGE(M35:M37)</f>
        <v>275</v>
      </c>
      <c r="P35" s="68">
        <f>AVERAGE(N35:N37)</f>
        <v>65128</v>
      </c>
      <c r="Z35" s="2"/>
      <c r="AA35" s="2"/>
    </row>
    <row r="36" spans="1:27" x14ac:dyDescent="0.3">
      <c r="A36" s="87">
        <v>44489</v>
      </c>
      <c r="B36" s="31">
        <v>44489</v>
      </c>
      <c r="C36" s="37" t="s">
        <v>24</v>
      </c>
      <c r="D36" s="32" t="s">
        <v>21</v>
      </c>
      <c r="E36" s="32">
        <v>20</v>
      </c>
      <c r="F36" s="32">
        <v>30</v>
      </c>
      <c r="G36" s="32">
        <v>427</v>
      </c>
      <c r="H36" s="32">
        <v>788731</v>
      </c>
      <c r="I36" s="32">
        <f t="shared" si="1"/>
        <v>-0.35428789123811988</v>
      </c>
      <c r="J36" s="33">
        <f t="shared" si="0"/>
        <v>6543.8789309649846</v>
      </c>
      <c r="L36" s="9" t="s">
        <v>31</v>
      </c>
      <c r="M36" s="69">
        <v>275</v>
      </c>
      <c r="N36" s="69">
        <v>64796</v>
      </c>
      <c r="O36" s="70"/>
      <c r="P36" s="71"/>
    </row>
    <row r="37" spans="1:27" ht="17.25" thickBot="1" x14ac:dyDescent="0.35">
      <c r="A37" s="87">
        <v>44489</v>
      </c>
      <c r="B37" s="31">
        <v>44489</v>
      </c>
      <c r="C37" s="37" t="s">
        <v>24</v>
      </c>
      <c r="D37" s="32" t="s">
        <v>21</v>
      </c>
      <c r="E37" s="32">
        <v>35</v>
      </c>
      <c r="F37" s="32">
        <v>31</v>
      </c>
      <c r="G37" s="32">
        <v>366</v>
      </c>
      <c r="H37" s="32">
        <v>1151099</v>
      </c>
      <c r="I37" s="32">
        <f t="shared" si="1"/>
        <v>-0.46648798733391017</v>
      </c>
      <c r="J37" s="33">
        <f t="shared" si="0"/>
        <v>9695.2118313425672</v>
      </c>
      <c r="L37" s="11" t="s">
        <v>31</v>
      </c>
      <c r="M37" s="72">
        <v>275</v>
      </c>
      <c r="N37" s="72">
        <v>66738</v>
      </c>
      <c r="O37" s="73"/>
      <c r="P37" s="74"/>
    </row>
    <row r="38" spans="1:27" ht="17.25" thickBot="1" x14ac:dyDescent="0.35">
      <c r="A38" s="89">
        <v>44489</v>
      </c>
      <c r="B38" s="45">
        <v>44489</v>
      </c>
      <c r="C38" s="40" t="s">
        <v>24</v>
      </c>
      <c r="D38" s="39" t="s">
        <v>21</v>
      </c>
      <c r="E38" s="39">
        <v>50</v>
      </c>
      <c r="F38" s="39">
        <v>32</v>
      </c>
      <c r="G38" s="39">
        <v>293</v>
      </c>
      <c r="H38" s="39">
        <v>2069382</v>
      </c>
      <c r="I38" s="39">
        <f t="shared" si="1"/>
        <v>-0.60076023348133134</v>
      </c>
      <c r="J38" s="41">
        <f t="shared" si="0"/>
        <v>17681.0588977431</v>
      </c>
      <c r="L38" s="64" t="s">
        <v>32</v>
      </c>
      <c r="M38" s="52">
        <v>91.7</v>
      </c>
      <c r="N38" s="52">
        <v>30076</v>
      </c>
      <c r="O38" s="67">
        <f>AVERAGE(M38:M40)</f>
        <v>91.7</v>
      </c>
      <c r="P38" s="68">
        <f>AVERAGE(N38:N40)</f>
        <v>31309.333333333332</v>
      </c>
    </row>
    <row r="39" spans="1:27" x14ac:dyDescent="0.3">
      <c r="A39" s="77">
        <v>44489</v>
      </c>
      <c r="B39" s="19">
        <v>44489</v>
      </c>
      <c r="C39" s="22" t="s">
        <v>24</v>
      </c>
      <c r="D39" s="20" t="s">
        <v>22</v>
      </c>
      <c r="E39" s="20">
        <v>10</v>
      </c>
      <c r="F39" s="20">
        <v>33</v>
      </c>
      <c r="G39" s="20">
        <v>842</v>
      </c>
      <c r="H39" s="20">
        <v>463930</v>
      </c>
      <c r="I39" s="20">
        <f t="shared" si="1"/>
        <v>0.40904063138078128</v>
      </c>
      <c r="J39" s="21">
        <f t="shared" ref="J39:J66" si="2">(H39*$AA$29)+$AA$30</f>
        <v>3719.2474034141542</v>
      </c>
      <c r="L39" s="9" t="s">
        <v>32</v>
      </c>
      <c r="M39" s="69">
        <v>91.7</v>
      </c>
      <c r="N39" s="69">
        <v>30215</v>
      </c>
      <c r="O39" s="70"/>
      <c r="P39" s="71"/>
    </row>
    <row r="40" spans="1:27" ht="17.25" thickBot="1" x14ac:dyDescent="0.35">
      <c r="A40" s="85">
        <v>44489</v>
      </c>
      <c r="B40" s="13">
        <v>44489</v>
      </c>
      <c r="C40" s="18" t="s">
        <v>24</v>
      </c>
      <c r="D40" s="16" t="s">
        <v>22</v>
      </c>
      <c r="E40" s="16">
        <v>20</v>
      </c>
      <c r="F40" s="16">
        <v>34</v>
      </c>
      <c r="G40" s="16">
        <v>401</v>
      </c>
      <c r="H40" s="16">
        <v>918666</v>
      </c>
      <c r="I40" s="16">
        <f t="shared" si="1"/>
        <v>-0.40211088301665343</v>
      </c>
      <c r="J40" s="17">
        <f t="shared" si="2"/>
        <v>7673.8585108687321</v>
      </c>
      <c r="L40" s="11" t="s">
        <v>32</v>
      </c>
      <c r="M40" s="72">
        <v>91.7</v>
      </c>
      <c r="N40" s="72">
        <v>33637</v>
      </c>
      <c r="O40" s="72"/>
      <c r="P40" s="129"/>
    </row>
    <row r="41" spans="1:27" ht="17.25" thickBot="1" x14ac:dyDescent="0.35">
      <c r="A41" s="85">
        <v>44489</v>
      </c>
      <c r="B41" s="13">
        <v>44489</v>
      </c>
      <c r="C41" s="18" t="s">
        <v>24</v>
      </c>
      <c r="D41" s="16" t="s">
        <v>22</v>
      </c>
      <c r="E41" s="16">
        <v>35</v>
      </c>
      <c r="F41" s="16">
        <v>35</v>
      </c>
      <c r="G41" s="16">
        <v>392</v>
      </c>
      <c r="H41" s="16">
        <v>1058347</v>
      </c>
      <c r="I41" s="16">
        <f t="shared" si="1"/>
        <v>-0.41866499555537662</v>
      </c>
      <c r="J41" s="17">
        <f t="shared" si="2"/>
        <v>8888.5941687017676</v>
      </c>
      <c r="L41" s="82" t="s">
        <v>36</v>
      </c>
      <c r="M41" s="83">
        <v>2500</v>
      </c>
      <c r="N41" s="84">
        <v>297060</v>
      </c>
      <c r="O41" s="84">
        <f>AVERAGE(M41:M41)</f>
        <v>2500</v>
      </c>
      <c r="P41" s="130">
        <f>AVERAGE(N41)</f>
        <v>297060</v>
      </c>
    </row>
    <row r="42" spans="1:27" ht="17.25" thickBot="1" x14ac:dyDescent="0.35">
      <c r="A42" s="88">
        <v>44489</v>
      </c>
      <c r="B42" s="34">
        <v>44489</v>
      </c>
      <c r="C42" s="43" t="s">
        <v>24</v>
      </c>
      <c r="D42" s="35" t="s">
        <v>22</v>
      </c>
      <c r="E42" s="35">
        <v>50</v>
      </c>
      <c r="F42" s="35">
        <v>36</v>
      </c>
      <c r="G42" s="35">
        <v>374</v>
      </c>
      <c r="H42" s="35">
        <v>1526798</v>
      </c>
      <c r="I42" s="35">
        <f t="shared" si="1"/>
        <v>-0.45177322063282288</v>
      </c>
      <c r="J42" s="36">
        <f t="shared" si="2"/>
        <v>12962.477758077152</v>
      </c>
      <c r="L42" s="82" t="s">
        <v>46</v>
      </c>
      <c r="M42" s="83">
        <v>5000</v>
      </c>
      <c r="N42" s="84">
        <v>602499</v>
      </c>
      <c r="O42" s="84">
        <f>AVERAGE(M42:M42)</f>
        <v>5000</v>
      </c>
      <c r="P42" s="130">
        <f t="shared" ref="P42:P43" si="3">AVERAGE(N42)</f>
        <v>602499</v>
      </c>
    </row>
    <row r="43" spans="1:27" ht="17.25" thickBot="1" x14ac:dyDescent="0.35">
      <c r="A43" s="77">
        <v>44489</v>
      </c>
      <c r="B43" s="19">
        <v>44489</v>
      </c>
      <c r="C43" s="22" t="s">
        <v>24</v>
      </c>
      <c r="D43" s="20" t="s">
        <v>23</v>
      </c>
      <c r="E43" s="20">
        <v>10</v>
      </c>
      <c r="F43" s="20">
        <v>37</v>
      </c>
      <c r="G43" s="20">
        <v>816</v>
      </c>
      <c r="H43" s="20">
        <v>356203</v>
      </c>
      <c r="I43" s="20">
        <f t="shared" si="1"/>
        <v>0.36121763960224773</v>
      </c>
      <c r="J43" s="21">
        <f t="shared" si="2"/>
        <v>2782.3996702838117</v>
      </c>
      <c r="L43" s="131" t="s">
        <v>34</v>
      </c>
      <c r="M43" s="132">
        <v>10000</v>
      </c>
      <c r="N43" s="133">
        <v>1190232</v>
      </c>
      <c r="O43" s="133">
        <f>M43</f>
        <v>10000</v>
      </c>
      <c r="P43" s="134">
        <f t="shared" si="3"/>
        <v>1190232</v>
      </c>
    </row>
    <row r="44" spans="1:27" x14ac:dyDescent="0.3">
      <c r="A44" s="85">
        <v>44489</v>
      </c>
      <c r="B44" s="13">
        <v>44489</v>
      </c>
      <c r="C44" s="18" t="s">
        <v>24</v>
      </c>
      <c r="D44" s="16" t="s">
        <v>23</v>
      </c>
      <c r="E44" s="16">
        <v>20</v>
      </c>
      <c r="F44" s="16">
        <v>38</v>
      </c>
      <c r="G44" s="16">
        <v>540</v>
      </c>
      <c r="H44" s="16">
        <v>629011</v>
      </c>
      <c r="I44" s="16">
        <f t="shared" si="1"/>
        <v>-0.14644181158526248</v>
      </c>
      <c r="J44" s="17">
        <f t="shared" si="2"/>
        <v>5154.8741323947261</v>
      </c>
    </row>
    <row r="45" spans="1:27" x14ac:dyDescent="0.3">
      <c r="A45" s="85">
        <v>44489</v>
      </c>
      <c r="B45" s="13">
        <v>44489</v>
      </c>
      <c r="C45" s="18" t="s">
        <v>24</v>
      </c>
      <c r="D45" s="16" t="s">
        <v>23</v>
      </c>
      <c r="E45" s="16">
        <v>35</v>
      </c>
      <c r="F45" s="16">
        <v>39</v>
      </c>
      <c r="G45" s="16">
        <v>395</v>
      </c>
      <c r="H45" s="16">
        <v>913688</v>
      </c>
      <c r="I45" s="16">
        <f t="shared" si="1"/>
        <v>-0.41314695804246881</v>
      </c>
      <c r="J45" s="17">
        <f t="shared" si="2"/>
        <v>7630.5673395233607</v>
      </c>
      <c r="L45" s="79"/>
      <c r="M45" s="80"/>
      <c r="N45" s="81"/>
      <c r="O45" s="81"/>
      <c r="P45" s="81"/>
    </row>
    <row r="46" spans="1:27" ht="17.25" thickBot="1" x14ac:dyDescent="0.35">
      <c r="A46" s="85">
        <v>44489</v>
      </c>
      <c r="B46" s="13">
        <v>44489</v>
      </c>
      <c r="C46" s="18" t="s">
        <v>24</v>
      </c>
      <c r="D46" s="16" t="s">
        <v>23</v>
      </c>
      <c r="E46" s="16">
        <v>50</v>
      </c>
      <c r="F46" s="16">
        <v>40</v>
      </c>
      <c r="G46" s="16">
        <v>314</v>
      </c>
      <c r="H46" s="16">
        <v>1658059</v>
      </c>
      <c r="I46" s="16">
        <f t="shared" si="1"/>
        <v>-0.56213397089097727</v>
      </c>
      <c r="J46" s="17">
        <f t="shared" si="2"/>
        <v>14103.988895474664</v>
      </c>
    </row>
    <row r="47" spans="1:27" x14ac:dyDescent="0.3">
      <c r="A47" s="86">
        <v>44489</v>
      </c>
      <c r="B47" s="28">
        <v>44489</v>
      </c>
      <c r="C47" s="29" t="s">
        <v>25</v>
      </c>
      <c r="D47" s="29" t="s">
        <v>19</v>
      </c>
      <c r="E47" s="29">
        <v>10</v>
      </c>
      <c r="F47" s="29">
        <v>41</v>
      </c>
      <c r="G47" s="29">
        <v>792</v>
      </c>
      <c r="H47" s="29">
        <v>203832</v>
      </c>
      <c r="I47" s="29">
        <f t="shared" si="1"/>
        <v>0.31707333949898597</v>
      </c>
      <c r="J47" s="30">
        <f t="shared" si="2"/>
        <v>1457.3054418656491</v>
      </c>
    </row>
    <row r="48" spans="1:27" x14ac:dyDescent="0.3">
      <c r="A48" s="87">
        <v>44489</v>
      </c>
      <c r="B48" s="31">
        <v>44489</v>
      </c>
      <c r="C48" s="32" t="s">
        <v>25</v>
      </c>
      <c r="D48" s="32" t="s">
        <v>19</v>
      </c>
      <c r="E48" s="32">
        <v>20</v>
      </c>
      <c r="F48" s="32">
        <v>42</v>
      </c>
      <c r="G48" s="32">
        <v>381</v>
      </c>
      <c r="H48" s="32">
        <v>788584</v>
      </c>
      <c r="I48" s="32">
        <f t="shared" si="1"/>
        <v>-0.43889779976937149</v>
      </c>
      <c r="J48" s="33">
        <f t="shared" si="2"/>
        <v>6542.6005456319654</v>
      </c>
    </row>
    <row r="49" spans="1:17" x14ac:dyDescent="0.3">
      <c r="A49" s="87">
        <v>44489</v>
      </c>
      <c r="B49" s="31">
        <v>44489</v>
      </c>
      <c r="C49" s="32" t="s">
        <v>25</v>
      </c>
      <c r="D49" s="32" t="s">
        <v>19</v>
      </c>
      <c r="E49" s="32">
        <v>35</v>
      </c>
      <c r="F49" s="32">
        <v>43</v>
      </c>
      <c r="G49" s="32">
        <v>351</v>
      </c>
      <c r="H49" s="32">
        <v>1106289</v>
      </c>
      <c r="I49" s="32">
        <f t="shared" si="1"/>
        <v>-0.49407817489844874</v>
      </c>
      <c r="J49" s="33">
        <f t="shared" si="2"/>
        <v>9305.5217172433113</v>
      </c>
    </row>
    <row r="50" spans="1:17" ht="17.25" thickBot="1" x14ac:dyDescent="0.35">
      <c r="A50" s="87">
        <v>44489</v>
      </c>
      <c r="B50" s="31">
        <v>44489</v>
      </c>
      <c r="C50" s="32" t="s">
        <v>25</v>
      </c>
      <c r="D50" s="32" t="s">
        <v>19</v>
      </c>
      <c r="E50" s="32">
        <v>50</v>
      </c>
      <c r="F50" s="32">
        <v>44</v>
      </c>
      <c r="G50" s="32">
        <v>0</v>
      </c>
      <c r="H50" s="32">
        <v>2156040</v>
      </c>
      <c r="I50" s="32">
        <f t="shared" si="1"/>
        <v>-1.1396885639086518</v>
      </c>
      <c r="J50" s="33">
        <f t="shared" si="2"/>
        <v>18434.68009630622</v>
      </c>
    </row>
    <row r="51" spans="1:17" x14ac:dyDescent="0.3">
      <c r="A51" s="77">
        <v>44489</v>
      </c>
      <c r="B51" s="19">
        <v>44489</v>
      </c>
      <c r="C51" s="20" t="s">
        <v>25</v>
      </c>
      <c r="D51" s="20" t="s">
        <v>20</v>
      </c>
      <c r="E51" s="20">
        <v>10</v>
      </c>
      <c r="F51" s="20">
        <v>45</v>
      </c>
      <c r="G51" s="20">
        <v>676</v>
      </c>
      <c r="H51" s="20">
        <v>594298</v>
      </c>
      <c r="I51" s="20">
        <f t="shared" si="1"/>
        <v>0.10370922233322077</v>
      </c>
      <c r="J51" s="21">
        <f t="shared" si="2"/>
        <v>4852.9925673260468</v>
      </c>
    </row>
    <row r="52" spans="1:17" x14ac:dyDescent="0.3">
      <c r="A52" s="85">
        <v>44489</v>
      </c>
      <c r="B52" s="13">
        <v>44489</v>
      </c>
      <c r="C52" s="16" t="s">
        <v>25</v>
      </c>
      <c r="D52" s="16" t="s">
        <v>20</v>
      </c>
      <c r="E52" s="16">
        <v>20</v>
      </c>
      <c r="F52" s="16">
        <v>46</v>
      </c>
      <c r="G52" s="16">
        <v>276</v>
      </c>
      <c r="H52" s="16">
        <v>1160717</v>
      </c>
      <c r="I52" s="16">
        <f t="shared" si="1"/>
        <v>-0.63202911272114171</v>
      </c>
      <c r="J52" s="17">
        <f t="shared" si="2"/>
        <v>9778.8547574172535</v>
      </c>
    </row>
    <row r="53" spans="1:17" x14ac:dyDescent="0.3">
      <c r="A53" s="85">
        <v>44489</v>
      </c>
      <c r="B53" s="13">
        <v>44489</v>
      </c>
      <c r="C53" s="16" t="s">
        <v>25</v>
      </c>
      <c r="D53" s="16" t="s">
        <v>20</v>
      </c>
      <c r="E53" s="16">
        <v>35</v>
      </c>
      <c r="F53" s="16">
        <v>47</v>
      </c>
      <c r="G53" s="16">
        <v>318</v>
      </c>
      <c r="H53" s="16">
        <v>1337771</v>
      </c>
      <c r="I53" s="16">
        <f t="shared" si="1"/>
        <v>-0.55477658754043369</v>
      </c>
      <c r="J53" s="17">
        <f t="shared" si="2"/>
        <v>11318.60466729741</v>
      </c>
    </row>
    <row r="54" spans="1:17" ht="17.25" thickBot="1" x14ac:dyDescent="0.35">
      <c r="A54" s="88">
        <v>44489</v>
      </c>
      <c r="B54" s="34">
        <v>44489</v>
      </c>
      <c r="C54" s="35" t="s">
        <v>25</v>
      </c>
      <c r="D54" s="35" t="s">
        <v>20</v>
      </c>
      <c r="E54" s="35">
        <v>50</v>
      </c>
      <c r="F54" s="35">
        <v>48</v>
      </c>
      <c r="G54" s="35">
        <v>370</v>
      </c>
      <c r="H54" s="35">
        <v>1404696</v>
      </c>
      <c r="I54" s="35">
        <f t="shared" si="1"/>
        <v>-0.45913060398336647</v>
      </c>
      <c r="J54" s="36">
        <f t="shared" si="2"/>
        <v>11900.617853775713</v>
      </c>
    </row>
    <row r="55" spans="1:17" x14ac:dyDescent="0.3">
      <c r="A55" s="77">
        <v>44489</v>
      </c>
      <c r="B55" s="19">
        <v>44489</v>
      </c>
      <c r="C55" s="20" t="s">
        <v>25</v>
      </c>
      <c r="D55" s="20" t="s">
        <v>21</v>
      </c>
      <c r="E55" s="20">
        <v>10</v>
      </c>
      <c r="F55" s="20">
        <v>49</v>
      </c>
      <c r="G55" s="20">
        <v>791</v>
      </c>
      <c r="H55" s="20">
        <v>475074</v>
      </c>
      <c r="I55" s="20">
        <f t="shared" si="1"/>
        <v>0.31523399366134996</v>
      </c>
      <c r="J55" s="21">
        <f t="shared" si="2"/>
        <v>3816.1611867554193</v>
      </c>
    </row>
    <row r="56" spans="1:17" x14ac:dyDescent="0.3">
      <c r="A56" s="85">
        <v>44489</v>
      </c>
      <c r="B56" s="13">
        <v>44489</v>
      </c>
      <c r="C56" s="16" t="s">
        <v>25</v>
      </c>
      <c r="D56" s="16" t="s">
        <v>21</v>
      </c>
      <c r="E56" s="16">
        <v>20</v>
      </c>
      <c r="F56" s="16">
        <v>50</v>
      </c>
      <c r="G56" s="16">
        <v>290</v>
      </c>
      <c r="H56" s="16">
        <v>1363498</v>
      </c>
      <c r="I56" s="16">
        <f t="shared" si="1"/>
        <v>-0.60627827099423903</v>
      </c>
      <c r="J56" s="17">
        <f t="shared" si="2"/>
        <v>11542.3394935735</v>
      </c>
      <c r="N56" s="75"/>
      <c r="O56" s="75"/>
      <c r="P56" s="75"/>
      <c r="Q56" s="75"/>
    </row>
    <row r="57" spans="1:17" x14ac:dyDescent="0.3">
      <c r="A57" s="85">
        <v>44489</v>
      </c>
      <c r="B57" s="13">
        <v>44489</v>
      </c>
      <c r="C57" s="16" t="s">
        <v>25</v>
      </c>
      <c r="D57" s="16" t="s">
        <v>21</v>
      </c>
      <c r="E57" s="16">
        <v>35</v>
      </c>
      <c r="F57" s="16">
        <v>51</v>
      </c>
      <c r="G57" s="16">
        <v>310</v>
      </c>
      <c r="H57" s="16">
        <v>1693018</v>
      </c>
      <c r="I57" s="16">
        <f t="shared" si="1"/>
        <v>-0.56949135424152086</v>
      </c>
      <c r="J57" s="17">
        <f t="shared" si="2"/>
        <v>14408.009799263906</v>
      </c>
      <c r="N57" s="2"/>
      <c r="O57" s="2"/>
      <c r="P57" s="2"/>
    </row>
    <row r="58" spans="1:17" ht="17.25" thickBot="1" x14ac:dyDescent="0.35">
      <c r="A58" s="88">
        <v>44489</v>
      </c>
      <c r="B58" s="34">
        <v>44489</v>
      </c>
      <c r="C58" s="35" t="s">
        <v>25</v>
      </c>
      <c r="D58" s="35" t="s">
        <v>21</v>
      </c>
      <c r="E58" s="35">
        <v>50</v>
      </c>
      <c r="F58" s="35">
        <v>52</v>
      </c>
      <c r="G58" s="35">
        <v>220</v>
      </c>
      <c r="H58" s="35">
        <v>2482031</v>
      </c>
      <c r="I58" s="35">
        <f t="shared" si="1"/>
        <v>-0.7350324796287524</v>
      </c>
      <c r="J58" s="36">
        <f t="shared" si="2"/>
        <v>21269.660457505302</v>
      </c>
      <c r="N58" s="2"/>
      <c r="O58" s="2"/>
      <c r="P58" s="2"/>
    </row>
    <row r="59" spans="1:17" x14ac:dyDescent="0.3">
      <c r="A59" s="86">
        <v>44489</v>
      </c>
      <c r="B59" s="28">
        <v>44489</v>
      </c>
      <c r="C59" s="29" t="s">
        <v>25</v>
      </c>
      <c r="D59" s="29" t="s">
        <v>22</v>
      </c>
      <c r="E59" s="29">
        <v>10</v>
      </c>
      <c r="F59" s="29">
        <v>53</v>
      </c>
      <c r="G59" s="29">
        <v>772</v>
      </c>
      <c r="H59" s="29">
        <v>256247</v>
      </c>
      <c r="I59" s="29">
        <f t="shared" si="1"/>
        <v>0.2802864227462678</v>
      </c>
      <c r="J59" s="30">
        <f t="shared" si="2"/>
        <v>1913.1324298262057</v>
      </c>
      <c r="N59" s="2"/>
      <c r="O59" s="2"/>
      <c r="P59" s="2"/>
    </row>
    <row r="60" spans="1:17" x14ac:dyDescent="0.3">
      <c r="A60" s="87">
        <v>44489</v>
      </c>
      <c r="B60" s="31">
        <v>44489</v>
      </c>
      <c r="C60" s="32" t="s">
        <v>25</v>
      </c>
      <c r="D60" s="32" t="s">
        <v>22</v>
      </c>
      <c r="E60" s="32">
        <v>20</v>
      </c>
      <c r="F60" s="32">
        <v>54</v>
      </c>
      <c r="G60" s="32">
        <v>352</v>
      </c>
      <c r="H60" s="32">
        <v>759977</v>
      </c>
      <c r="I60" s="32">
        <f t="shared" si="1"/>
        <v>-0.49223882906081284</v>
      </c>
      <c r="J60" s="33">
        <f t="shared" si="2"/>
        <v>6293.8198026273358</v>
      </c>
      <c r="N60" s="2"/>
      <c r="O60" s="2"/>
      <c r="P60" s="2"/>
    </row>
    <row r="61" spans="1:17" x14ac:dyDescent="0.3">
      <c r="A61" s="87">
        <v>44489</v>
      </c>
      <c r="B61" s="31">
        <v>44489</v>
      </c>
      <c r="C61" s="32" t="s">
        <v>25</v>
      </c>
      <c r="D61" s="32" t="s">
        <v>22</v>
      </c>
      <c r="E61" s="32">
        <v>35</v>
      </c>
      <c r="F61" s="32">
        <v>55</v>
      </c>
      <c r="G61" s="32">
        <v>251</v>
      </c>
      <c r="H61" s="32">
        <v>1016294</v>
      </c>
      <c r="I61" s="32">
        <f t="shared" si="1"/>
        <v>-0.67801275866203936</v>
      </c>
      <c r="J61" s="33">
        <f t="shared" si="2"/>
        <v>8522.8803019707684</v>
      </c>
      <c r="N61" s="2"/>
      <c r="O61" s="2"/>
      <c r="P61" s="2"/>
    </row>
    <row r="62" spans="1:17" ht="17.25" thickBot="1" x14ac:dyDescent="0.35">
      <c r="A62" s="89">
        <v>44489</v>
      </c>
      <c r="B62" s="45">
        <v>44489</v>
      </c>
      <c r="C62" s="39" t="s">
        <v>25</v>
      </c>
      <c r="D62" s="39" t="s">
        <v>22</v>
      </c>
      <c r="E62" s="39">
        <v>50</v>
      </c>
      <c r="F62" s="39">
        <v>56</v>
      </c>
      <c r="G62" s="39">
        <v>223</v>
      </c>
      <c r="H62" s="39">
        <v>1335099</v>
      </c>
      <c r="I62" s="39">
        <f t="shared" si="1"/>
        <v>-0.72951444211584471</v>
      </c>
      <c r="J62" s="41">
        <f t="shared" si="2"/>
        <v>11295.367622332598</v>
      </c>
      <c r="N62" s="2"/>
      <c r="O62" s="2"/>
      <c r="P62" s="2"/>
    </row>
    <row r="63" spans="1:17" x14ac:dyDescent="0.3">
      <c r="A63" s="77">
        <v>44489</v>
      </c>
      <c r="B63" s="19">
        <v>44489</v>
      </c>
      <c r="C63" s="20" t="s">
        <v>25</v>
      </c>
      <c r="D63" s="20" t="s">
        <v>23</v>
      </c>
      <c r="E63" s="20">
        <v>10</v>
      </c>
      <c r="F63" s="20">
        <v>57</v>
      </c>
      <c r="G63" s="20">
        <v>578</v>
      </c>
      <c r="H63" s="20">
        <v>796894</v>
      </c>
      <c r="I63" s="20">
        <f t="shared" si="1"/>
        <v>-7.6546669755098051E-2</v>
      </c>
      <c r="J63" s="21">
        <f t="shared" si="2"/>
        <v>6614.8684511924394</v>
      </c>
      <c r="N63" s="2"/>
      <c r="O63" s="2"/>
      <c r="P63" s="2"/>
    </row>
    <row r="64" spans="1:17" x14ac:dyDescent="0.3">
      <c r="A64" s="85">
        <v>44489</v>
      </c>
      <c r="B64" s="13">
        <v>44489</v>
      </c>
      <c r="C64" s="16" t="s">
        <v>25</v>
      </c>
      <c r="D64" s="16" t="s">
        <v>23</v>
      </c>
      <c r="E64" s="16">
        <v>20</v>
      </c>
      <c r="F64" s="16">
        <v>58</v>
      </c>
      <c r="G64" s="16">
        <v>235</v>
      </c>
      <c r="H64" s="16">
        <v>1166435</v>
      </c>
      <c r="I64" s="16">
        <f t="shared" si="1"/>
        <v>-0.70744229206421383</v>
      </c>
      <c r="J64" s="17">
        <f t="shared" si="2"/>
        <v>9828.5813379220417</v>
      </c>
      <c r="N64" s="2"/>
      <c r="O64" s="2"/>
      <c r="P64" s="2"/>
    </row>
    <row r="65" spans="1:16" x14ac:dyDescent="0.3">
      <c r="A65" s="85">
        <v>44489</v>
      </c>
      <c r="B65" s="13">
        <v>44489</v>
      </c>
      <c r="C65" s="16" t="s">
        <v>25</v>
      </c>
      <c r="D65" s="16" t="s">
        <v>23</v>
      </c>
      <c r="E65" s="16">
        <v>35</v>
      </c>
      <c r="F65" s="16">
        <v>59</v>
      </c>
      <c r="G65" s="16">
        <v>249</v>
      </c>
      <c r="H65" s="16">
        <v>1983068</v>
      </c>
      <c r="I65" s="16">
        <f t="shared" si="1"/>
        <v>-0.68169145033731116</v>
      </c>
      <c r="J65" s="17">
        <f t="shared" si="2"/>
        <v>16930.429294789225</v>
      </c>
      <c r="N65" s="2"/>
      <c r="O65" s="2"/>
      <c r="P65" s="2"/>
    </row>
    <row r="66" spans="1:16" x14ac:dyDescent="0.3">
      <c r="A66" s="85">
        <v>44489</v>
      </c>
      <c r="B66" s="13">
        <v>44489</v>
      </c>
      <c r="C66" s="16" t="s">
        <v>25</v>
      </c>
      <c r="D66" s="16" t="s">
        <v>23</v>
      </c>
      <c r="E66" s="16">
        <v>50</v>
      </c>
      <c r="F66" s="16">
        <v>60</v>
      </c>
      <c r="G66" s="16">
        <v>229</v>
      </c>
      <c r="H66" s="16">
        <v>2324674</v>
      </c>
      <c r="I66" s="16">
        <f t="shared" si="1"/>
        <v>-0.71847836709002921</v>
      </c>
      <c r="J66" s="17">
        <f t="shared" si="2"/>
        <v>19901.205485750856</v>
      </c>
      <c r="N66" s="2"/>
      <c r="O66" s="2"/>
      <c r="P66" s="2"/>
    </row>
  </sheetData>
  <pageMargins left="0.7" right="0.7" top="0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DAFD-F80A-48DD-AB0E-7888925DA5C7}">
  <dimension ref="A1:P62"/>
  <sheetViews>
    <sheetView tabSelected="1" topLeftCell="A7" zoomScale="50" zoomScaleNormal="50" workbookViewId="0">
      <selection activeCell="P16" sqref="P16"/>
    </sheetView>
  </sheetViews>
  <sheetFormatPr defaultRowHeight="15" x14ac:dyDescent="0.25"/>
  <cols>
    <col min="1" max="3" width="11.140625" customWidth="1"/>
    <col min="9" max="9" width="2.7109375" customWidth="1"/>
  </cols>
  <sheetData>
    <row r="1" spans="1:16" ht="33.75" thickBot="1" x14ac:dyDescent="0.35">
      <c r="A1" s="95" t="s">
        <v>1</v>
      </c>
      <c r="B1" s="96" t="s">
        <v>5</v>
      </c>
      <c r="C1" s="96" t="s">
        <v>2</v>
      </c>
      <c r="D1" s="97" t="s">
        <v>8</v>
      </c>
      <c r="E1" s="98" t="s">
        <v>9</v>
      </c>
      <c r="F1" s="98" t="s">
        <v>43</v>
      </c>
      <c r="G1" s="98" t="s">
        <v>44</v>
      </c>
      <c r="H1" s="98" t="s">
        <v>45</v>
      </c>
      <c r="I1" s="99"/>
      <c r="J1" s="100" t="s">
        <v>37</v>
      </c>
      <c r="K1" s="100" t="s">
        <v>38</v>
      </c>
      <c r="L1" s="100" t="s">
        <v>39</v>
      </c>
      <c r="M1" s="100" t="s">
        <v>40</v>
      </c>
      <c r="N1" s="100" t="s">
        <v>41</v>
      </c>
      <c r="O1" s="101" t="s">
        <v>42</v>
      </c>
    </row>
    <row r="2" spans="1:16" ht="16.5" x14ac:dyDescent="0.3">
      <c r="A2" s="92" t="s">
        <v>18</v>
      </c>
      <c r="B2" s="93" t="s">
        <v>19</v>
      </c>
      <c r="C2" s="93">
        <v>10</v>
      </c>
      <c r="D2" s="94">
        <f>('STDs and Samples'!I7)</f>
        <v>0.4789357732109456</v>
      </c>
      <c r="E2" s="94">
        <f>('STDs and Samples'!J7)</f>
        <v>2143.633132218547</v>
      </c>
      <c r="F2" s="94"/>
      <c r="G2" s="94"/>
      <c r="H2" s="94"/>
      <c r="I2" s="5"/>
      <c r="J2" s="5">
        <f>AVERAGE(D2:D6)</f>
        <v>0.41345506139110738</v>
      </c>
      <c r="K2" s="5">
        <f>STDEV(D2:D6)</f>
        <v>0.257838630887332</v>
      </c>
      <c r="L2" s="5">
        <f>K2/SQRT(5)</f>
        <v>0.11530894117791025</v>
      </c>
      <c r="M2" s="5">
        <f>AVERAGE(E2:E6)</f>
        <v>2365.5851762275006</v>
      </c>
      <c r="N2" s="5">
        <f>STDEV(E2:E6)</f>
        <v>746.53830694556223</v>
      </c>
      <c r="O2" s="8">
        <f>N2/SQRT(5)</f>
        <v>333.86208042757607</v>
      </c>
    </row>
    <row r="3" spans="1:16" ht="16.5" x14ac:dyDescent="0.3">
      <c r="A3" s="90" t="s">
        <v>18</v>
      </c>
      <c r="B3" s="16" t="s">
        <v>20</v>
      </c>
      <c r="C3" s="16">
        <v>10</v>
      </c>
      <c r="D3" s="12">
        <f>('STDs and Samples'!I11)</f>
        <v>0.6959785820519826</v>
      </c>
      <c r="E3" s="12">
        <f>('STDs and Samples'!J11)</f>
        <v>3191.4829768499585</v>
      </c>
      <c r="F3" s="12"/>
      <c r="G3" s="12"/>
      <c r="H3" s="12"/>
      <c r="I3" s="6"/>
      <c r="J3" s="6"/>
      <c r="K3" s="6"/>
      <c r="L3" s="6"/>
      <c r="M3" s="6"/>
      <c r="N3" s="6"/>
      <c r="O3" s="10"/>
      <c r="P3" s="81"/>
    </row>
    <row r="4" spans="1:16" ht="16.5" x14ac:dyDescent="0.3">
      <c r="A4" s="90" t="s">
        <v>18</v>
      </c>
      <c r="B4" s="16" t="s">
        <v>21</v>
      </c>
      <c r="C4" s="16">
        <v>10</v>
      </c>
      <c r="D4" s="12">
        <f>('STDs and Samples'!I15)</f>
        <v>0.40168324803023769</v>
      </c>
      <c r="E4" s="12">
        <f>('STDs and Samples'!J15)</f>
        <v>2445.4277322985849</v>
      </c>
      <c r="F4" s="12"/>
      <c r="G4" s="12"/>
      <c r="H4" s="12"/>
      <c r="I4" s="6"/>
      <c r="J4" s="6"/>
      <c r="K4" s="6"/>
      <c r="L4" s="6"/>
      <c r="M4" s="6"/>
      <c r="N4" s="6"/>
      <c r="O4" s="10"/>
    </row>
    <row r="5" spans="1:16" ht="16.5" x14ac:dyDescent="0.3">
      <c r="A5" s="90" t="s">
        <v>18</v>
      </c>
      <c r="B5" s="16" t="s">
        <v>22</v>
      </c>
      <c r="C5" s="16">
        <v>10</v>
      </c>
      <c r="D5" s="16">
        <f>('STDs and Samples'!I19)</f>
        <v>-4.8121820872977228E-3</v>
      </c>
      <c r="E5" s="16">
        <f>('STDs and Samples'!J19)</f>
        <v>2816.7073583025922</v>
      </c>
      <c r="F5" s="16"/>
      <c r="G5" s="16"/>
      <c r="H5" s="16"/>
      <c r="I5" s="6"/>
      <c r="J5" s="6"/>
      <c r="K5" s="6"/>
      <c r="L5" s="6"/>
      <c r="M5" s="6"/>
      <c r="N5" s="6"/>
      <c r="O5" s="10"/>
    </row>
    <row r="6" spans="1:16" ht="17.25" thickBot="1" x14ac:dyDescent="0.35">
      <c r="A6" s="111" t="s">
        <v>18</v>
      </c>
      <c r="B6" s="35" t="s">
        <v>23</v>
      </c>
      <c r="C6" s="35">
        <v>10</v>
      </c>
      <c r="D6" s="35">
        <f>('STDs and Samples'!I23)</f>
        <v>0.49548988574966879</v>
      </c>
      <c r="E6" s="35">
        <f>('STDs and Samples'!J23)</f>
        <v>1230.6746814678218</v>
      </c>
      <c r="F6" s="35"/>
      <c r="G6" s="35"/>
      <c r="H6" s="35"/>
      <c r="I6" s="112"/>
      <c r="J6" s="112"/>
      <c r="K6" s="112"/>
      <c r="L6" s="112"/>
      <c r="M6" s="112"/>
      <c r="N6" s="112"/>
      <c r="O6" s="113"/>
    </row>
    <row r="7" spans="1:16" ht="16.5" x14ac:dyDescent="0.3">
      <c r="A7" s="116" t="s">
        <v>18</v>
      </c>
      <c r="B7" s="117" t="s">
        <v>19</v>
      </c>
      <c r="C7" s="117">
        <v>20</v>
      </c>
      <c r="D7" s="118">
        <f>('STDs and Samples'!I8)</f>
        <v>-0.20714022422724732</v>
      </c>
      <c r="E7" s="118">
        <f>('STDs and Samples'!J8)</f>
        <v>4702.2648490138772</v>
      </c>
      <c r="F7" s="118"/>
      <c r="G7" s="118"/>
      <c r="H7" s="118"/>
      <c r="I7" s="118"/>
      <c r="J7" s="118">
        <f>AVERAGE(D7:D11)</f>
        <v>-0.22295859843091614</v>
      </c>
      <c r="K7" s="118">
        <f>STDEV(D7:D11)</f>
        <v>0.18595868288311562</v>
      </c>
      <c r="L7" s="118">
        <f>K7/SQRT(5)</f>
        <v>8.3163251186594622E-2</v>
      </c>
      <c r="M7" s="118">
        <f>AVERAGE(E7:E11)</f>
        <v>7122.1491443321893</v>
      </c>
      <c r="N7" s="118">
        <f>STDEV(E7:E11)</f>
        <v>1982.9169033836583</v>
      </c>
      <c r="O7" s="119">
        <f>N7/SQRT(5)</f>
        <v>886.78739793984846</v>
      </c>
    </row>
    <row r="8" spans="1:16" ht="16.5" x14ac:dyDescent="0.3">
      <c r="A8" s="102" t="s">
        <v>18</v>
      </c>
      <c r="B8" s="103" t="s">
        <v>20</v>
      </c>
      <c r="C8" s="103">
        <v>20</v>
      </c>
      <c r="D8" s="104">
        <f>('STDs and Samples'!I12)</f>
        <v>7.4279688931046195E-2</v>
      </c>
      <c r="E8" s="104">
        <f>('STDs and Samples'!J12)</f>
        <v>10218.941082433832</v>
      </c>
      <c r="F8" s="104"/>
      <c r="G8" s="104"/>
      <c r="H8" s="104"/>
      <c r="I8" s="104"/>
      <c r="J8" s="104"/>
      <c r="K8" s="104"/>
      <c r="L8" s="104"/>
      <c r="M8" s="104"/>
      <c r="N8" s="104"/>
      <c r="O8" s="105"/>
    </row>
    <row r="9" spans="1:16" ht="16.5" x14ac:dyDescent="0.3">
      <c r="A9" s="102" t="s">
        <v>18</v>
      </c>
      <c r="B9" s="103" t="s">
        <v>21</v>
      </c>
      <c r="C9" s="103">
        <v>20</v>
      </c>
      <c r="D9" s="104">
        <f>('STDs and Samples'!I16)</f>
        <v>-0.2273730284412423</v>
      </c>
      <c r="E9" s="104">
        <f>('STDs and Samples'!J16)</f>
        <v>7142.4763407770815</v>
      </c>
      <c r="F9" s="104"/>
      <c r="G9" s="104"/>
      <c r="H9" s="104"/>
      <c r="I9" s="104"/>
      <c r="J9" s="104"/>
      <c r="K9" s="104"/>
      <c r="L9" s="104"/>
      <c r="M9" s="104"/>
      <c r="N9" s="104"/>
      <c r="O9" s="105"/>
    </row>
    <row r="10" spans="1:16" ht="16.5" x14ac:dyDescent="0.3">
      <c r="A10" s="102" t="s">
        <v>18</v>
      </c>
      <c r="B10" s="103" t="s">
        <v>22</v>
      </c>
      <c r="C10" s="103">
        <v>20</v>
      </c>
      <c r="D10" s="103">
        <f>('STDs and Samples'!I20)</f>
        <v>-0.40946826636719702</v>
      </c>
      <c r="E10" s="103">
        <f>('STDs and Samples'!J20)</f>
        <v>6912.0886928699729</v>
      </c>
      <c r="F10" s="103"/>
      <c r="G10" s="103"/>
      <c r="H10" s="103"/>
      <c r="I10" s="104"/>
      <c r="J10" s="104"/>
      <c r="K10" s="104"/>
      <c r="L10" s="104"/>
      <c r="M10" s="104"/>
      <c r="N10" s="104"/>
      <c r="O10" s="105"/>
    </row>
    <row r="11" spans="1:16" ht="17.25" thickBot="1" x14ac:dyDescent="0.35">
      <c r="A11" s="107" t="s">
        <v>18</v>
      </c>
      <c r="B11" s="108" t="s">
        <v>23</v>
      </c>
      <c r="C11" s="108">
        <v>20</v>
      </c>
      <c r="D11" s="108">
        <f>('STDs and Samples'!I24)</f>
        <v>-0.34509116204994028</v>
      </c>
      <c r="E11" s="108">
        <f>('STDs and Samples'!J24)</f>
        <v>6634.9747565661837</v>
      </c>
      <c r="F11" s="108"/>
      <c r="G11" s="108"/>
      <c r="H11" s="108"/>
      <c r="I11" s="109"/>
      <c r="J11" s="109"/>
      <c r="K11" s="109"/>
      <c r="L11" s="109"/>
      <c r="M11" s="109"/>
      <c r="N11" s="109"/>
      <c r="O11" s="110"/>
    </row>
    <row r="12" spans="1:16" ht="16.5" x14ac:dyDescent="0.3">
      <c r="A12" s="92" t="s">
        <v>18</v>
      </c>
      <c r="B12" s="93" t="s">
        <v>19</v>
      </c>
      <c r="C12" s="93">
        <v>35</v>
      </c>
      <c r="D12" s="94">
        <f>('STDs and Samples'!I9)</f>
        <v>-0.24208779514232959</v>
      </c>
      <c r="E12" s="94">
        <f>('STDs and Samples'!J9)</f>
        <v>6798.4689352108171</v>
      </c>
      <c r="F12" s="94"/>
      <c r="G12" s="94"/>
      <c r="H12" s="94"/>
      <c r="I12" s="5"/>
      <c r="J12" s="5">
        <f>AVERAGE(D12:D16)</f>
        <v>-0.27298880521461283</v>
      </c>
      <c r="K12" s="5">
        <f>STDEV(D12:D16)</f>
        <v>0.20118105233515063</v>
      </c>
      <c r="L12" s="5">
        <f>K12/SQRT(5)</f>
        <v>8.9970901761267916E-2</v>
      </c>
      <c r="M12" s="5">
        <f>AVERAGE(E12:E16)</f>
        <v>11680.300751553204</v>
      </c>
      <c r="N12" s="5">
        <f>STDEV(E12:E16)</f>
        <v>7654.6755625153273</v>
      </c>
      <c r="O12" s="8">
        <f>N12/SQRT(5)</f>
        <v>3423.2749806981424</v>
      </c>
    </row>
    <row r="13" spans="1:16" ht="16.5" x14ac:dyDescent="0.3">
      <c r="A13" s="90" t="s">
        <v>18</v>
      </c>
      <c r="B13" s="16" t="s">
        <v>20</v>
      </c>
      <c r="C13" s="16">
        <v>35</v>
      </c>
      <c r="D13" s="12">
        <f>('STDs and Samples'!I13)</f>
        <v>-7.2867978079826257E-2</v>
      </c>
      <c r="E13" s="12">
        <f>('STDs and Samples'!J13)</f>
        <v>24477.677137478935</v>
      </c>
      <c r="F13" s="12"/>
      <c r="G13" s="12"/>
      <c r="H13" s="12"/>
      <c r="I13" s="6"/>
      <c r="J13" s="6"/>
      <c r="K13" s="6"/>
      <c r="L13" s="6"/>
      <c r="M13" s="6"/>
      <c r="N13" s="6"/>
      <c r="O13" s="10"/>
    </row>
    <row r="14" spans="1:16" ht="16.5" x14ac:dyDescent="0.3">
      <c r="A14" s="90" t="s">
        <v>18</v>
      </c>
      <c r="B14" s="16" t="s">
        <v>21</v>
      </c>
      <c r="C14" s="16">
        <v>35</v>
      </c>
      <c r="D14" s="12">
        <f>('STDs and Samples'!I17)</f>
        <v>-0.19058611168852424</v>
      </c>
      <c r="E14" s="12">
        <f>('STDs and Samples'!J17)</f>
        <v>6167.6596936061824</v>
      </c>
      <c r="F14" s="12"/>
      <c r="G14" s="12"/>
      <c r="H14" s="12"/>
      <c r="I14" s="6"/>
      <c r="J14" s="6"/>
      <c r="K14" s="6"/>
      <c r="L14" s="6"/>
      <c r="M14" s="6"/>
      <c r="N14" s="6"/>
      <c r="O14" s="10"/>
    </row>
    <row r="15" spans="1:16" ht="16.5" x14ac:dyDescent="0.3">
      <c r="A15" s="90" t="s">
        <v>18</v>
      </c>
      <c r="B15" s="16" t="s">
        <v>22</v>
      </c>
      <c r="C15" s="16">
        <v>35</v>
      </c>
      <c r="D15" s="16">
        <f>('STDs and Samples'!I21)</f>
        <v>-0.24944517849287318</v>
      </c>
      <c r="E15" s="16">
        <f>('STDs and Samples'!J21)</f>
        <v>7881.2613122780876</v>
      </c>
      <c r="F15" s="16"/>
      <c r="G15" s="16"/>
      <c r="H15" s="16"/>
      <c r="I15" s="6"/>
      <c r="J15" s="6"/>
      <c r="K15" s="6"/>
      <c r="L15" s="6"/>
      <c r="M15" s="6"/>
      <c r="N15" s="6"/>
      <c r="O15" s="10"/>
    </row>
    <row r="16" spans="1:16" ht="17.25" thickBot="1" x14ac:dyDescent="0.35">
      <c r="A16" s="111" t="s">
        <v>18</v>
      </c>
      <c r="B16" s="35" t="s">
        <v>23</v>
      </c>
      <c r="C16" s="35">
        <v>35</v>
      </c>
      <c r="D16" s="35">
        <f>('STDs and Samples'!I25)</f>
        <v>-0.60995696266951083</v>
      </c>
      <c r="E16" s="35">
        <f>('STDs and Samples'!J25)</f>
        <v>13076.436679192007</v>
      </c>
      <c r="F16" s="35"/>
      <c r="G16" s="35"/>
      <c r="H16" s="35"/>
      <c r="I16" s="112"/>
      <c r="J16" s="112"/>
      <c r="K16" s="112"/>
      <c r="L16" s="112"/>
      <c r="M16" s="112"/>
      <c r="N16" s="112"/>
      <c r="O16" s="113"/>
    </row>
    <row r="17" spans="1:15" ht="16.5" x14ac:dyDescent="0.3">
      <c r="A17" s="116" t="s">
        <v>18</v>
      </c>
      <c r="B17" s="117" t="s">
        <v>19</v>
      </c>
      <c r="C17" s="117">
        <v>50</v>
      </c>
      <c r="D17" s="118">
        <f>('STDs and Samples'!I10)</f>
        <v>-0.51431097911244372</v>
      </c>
      <c r="E17" s="118">
        <f>('STDs and Samples'!J10)</f>
        <v>13948.251993816788</v>
      </c>
      <c r="F17" s="118"/>
      <c r="G17" s="118"/>
      <c r="H17" s="118"/>
      <c r="I17" s="118"/>
      <c r="J17" s="118">
        <f>AVERAGE(D17:D21)</f>
        <v>-0.4315404164188279</v>
      </c>
      <c r="K17" s="118">
        <f>STDEV(D17:D21)</f>
        <v>9.6095918721425283E-2</v>
      </c>
      <c r="L17" s="118">
        <f>K17/SQRT(5)</f>
        <v>4.2975401324280321E-2</v>
      </c>
      <c r="M17" s="118">
        <f>AVERAGE(E17:E21)</f>
        <v>13394.869420898796</v>
      </c>
      <c r="N17" s="118">
        <f>STDEV(E17:E21)</f>
        <v>3467.6859687863466</v>
      </c>
      <c r="O17" s="119">
        <f>N17/SQRT(5)</f>
        <v>1550.7963101656969</v>
      </c>
    </row>
    <row r="18" spans="1:15" ht="16.5" x14ac:dyDescent="0.3">
      <c r="A18" s="102" t="s">
        <v>18</v>
      </c>
      <c r="B18" s="103" t="s">
        <v>20</v>
      </c>
      <c r="C18" s="103">
        <v>50</v>
      </c>
      <c r="D18" s="104">
        <f>('STDs and Samples'!I14)</f>
        <v>-0.32853704951121721</v>
      </c>
      <c r="E18" s="104">
        <f>('STDs and Samples'!J14)</f>
        <v>18078.871541781406</v>
      </c>
      <c r="F18" s="104"/>
      <c r="G18" s="104"/>
      <c r="H18" s="104"/>
      <c r="I18" s="104"/>
      <c r="J18" s="104"/>
      <c r="K18" s="104"/>
      <c r="L18" s="104"/>
      <c r="M18" s="104"/>
      <c r="N18" s="104"/>
      <c r="O18" s="105"/>
    </row>
    <row r="19" spans="1:15" ht="16.5" x14ac:dyDescent="0.3">
      <c r="A19" s="102" t="s">
        <v>18</v>
      </c>
      <c r="B19" s="103" t="s">
        <v>21</v>
      </c>
      <c r="C19" s="103">
        <v>50</v>
      </c>
      <c r="D19" s="104">
        <f>('STDs and Samples'!I18)</f>
        <v>-0.41682564971774072</v>
      </c>
      <c r="E19" s="104">
        <f>('STDs and Samples'!J18)</f>
        <v>11578.838699306029</v>
      </c>
      <c r="F19" s="104"/>
      <c r="G19" s="104"/>
      <c r="H19" s="104"/>
      <c r="I19" s="104"/>
      <c r="J19" s="104"/>
      <c r="K19" s="104"/>
      <c r="L19" s="104"/>
      <c r="M19" s="104"/>
      <c r="N19" s="104"/>
      <c r="O19" s="105"/>
    </row>
    <row r="20" spans="1:15" ht="16.5" x14ac:dyDescent="0.3">
      <c r="A20" s="102" t="s">
        <v>18</v>
      </c>
      <c r="B20" s="103" t="s">
        <v>22</v>
      </c>
      <c r="C20" s="103">
        <v>50</v>
      </c>
      <c r="D20" s="103">
        <f>('STDs and Samples'!I22)</f>
        <v>-0.35244854540048398</v>
      </c>
      <c r="E20" s="103">
        <f>('STDs and Samples'!J22)</f>
        <v>8794.3415140129091</v>
      </c>
      <c r="F20" s="103"/>
      <c r="G20" s="103"/>
      <c r="H20" s="103"/>
      <c r="I20" s="104"/>
      <c r="J20" s="104"/>
      <c r="K20" s="104"/>
      <c r="L20" s="104"/>
      <c r="M20" s="104"/>
      <c r="N20" s="104"/>
      <c r="O20" s="105"/>
    </row>
    <row r="21" spans="1:15" ht="17.25" thickBot="1" x14ac:dyDescent="0.35">
      <c r="A21" s="107" t="s">
        <v>18</v>
      </c>
      <c r="B21" s="108" t="s">
        <v>23</v>
      </c>
      <c r="C21" s="108">
        <v>50</v>
      </c>
      <c r="D21" s="108">
        <f>('STDs and Samples'!I26)</f>
        <v>-0.54557985835225409</v>
      </c>
      <c r="E21" s="108">
        <f>('STDs and Samples'!J26)</f>
        <v>14574.04335557685</v>
      </c>
      <c r="F21" s="108"/>
      <c r="G21" s="108"/>
      <c r="H21" s="108"/>
      <c r="I21" s="109"/>
      <c r="J21" s="109"/>
      <c r="K21" s="109"/>
      <c r="L21" s="109"/>
      <c r="M21" s="109"/>
      <c r="N21" s="109"/>
      <c r="O21" s="110"/>
    </row>
    <row r="22" spans="1:15" ht="16.5" x14ac:dyDescent="0.3">
      <c r="A22" s="115" t="s">
        <v>24</v>
      </c>
      <c r="B22" s="93" t="s">
        <v>19</v>
      </c>
      <c r="C22" s="93">
        <v>10</v>
      </c>
      <c r="D22" s="93">
        <f>('STDs and Samples'!I27)</f>
        <v>0.16072894329993392</v>
      </c>
      <c r="E22" s="93">
        <f>('STDs and Samples'!J27)</f>
        <v>3240.1051019990086</v>
      </c>
      <c r="F22" s="93"/>
      <c r="G22" s="93"/>
      <c r="H22" s="93"/>
      <c r="I22" s="5"/>
      <c r="J22" s="5">
        <f>AVERAGE(D22:D26)</f>
        <v>0.21958801010428292</v>
      </c>
      <c r="K22" s="5">
        <f>STDEV(D22:D26)</f>
        <v>0.16938467809394445</v>
      </c>
      <c r="L22" s="5">
        <f>K22/SQRT(5)</f>
        <v>7.5751130912995859E-2</v>
      </c>
      <c r="M22" s="5">
        <f>AVERAGE(E22:E26)</f>
        <v>3448.9115183250251</v>
      </c>
      <c r="N22" s="5">
        <f>STDEV(E22:E26)</f>
        <v>553.46206447480915</v>
      </c>
      <c r="O22" s="8">
        <f>N22/SQRT(5)</f>
        <v>247.51575982660893</v>
      </c>
    </row>
    <row r="23" spans="1:15" ht="16.5" x14ac:dyDescent="0.3">
      <c r="A23" s="91" t="s">
        <v>24</v>
      </c>
      <c r="B23" s="16" t="s">
        <v>20</v>
      </c>
      <c r="C23" s="16">
        <v>10</v>
      </c>
      <c r="D23" s="12">
        <f>('STDs and Samples'!I31)</f>
        <v>-1.2169565437841312E-2</v>
      </c>
      <c r="E23" s="12">
        <f>('STDs and Samples'!J31)</f>
        <v>4241.9939501337776</v>
      </c>
      <c r="F23" s="12"/>
      <c r="G23" s="12"/>
      <c r="H23" s="12"/>
      <c r="I23" s="6"/>
      <c r="J23" s="6"/>
      <c r="K23" s="6"/>
      <c r="L23" s="6"/>
      <c r="M23" s="6"/>
      <c r="N23" s="6"/>
      <c r="O23" s="10"/>
    </row>
    <row r="24" spans="1:15" ht="16.5" x14ac:dyDescent="0.3">
      <c r="A24" s="91" t="s">
        <v>24</v>
      </c>
      <c r="B24" s="16" t="s">
        <v>21</v>
      </c>
      <c r="C24" s="16">
        <v>10</v>
      </c>
      <c r="D24" s="12">
        <f>('STDs and Samples'!I35)</f>
        <v>0.1791224016762929</v>
      </c>
      <c r="E24" s="12">
        <f>('STDs and Samples'!J35)</f>
        <v>3260.8114657943743</v>
      </c>
      <c r="F24" s="12"/>
      <c r="G24" s="12"/>
      <c r="H24" s="12"/>
      <c r="I24" s="6"/>
      <c r="J24" s="6"/>
      <c r="K24" s="6"/>
      <c r="L24" s="6"/>
      <c r="M24" s="6"/>
      <c r="N24" s="6"/>
      <c r="O24" s="10"/>
    </row>
    <row r="25" spans="1:15" ht="16.5" x14ac:dyDescent="0.3">
      <c r="A25" s="91" t="s">
        <v>24</v>
      </c>
      <c r="B25" s="16" t="s">
        <v>22</v>
      </c>
      <c r="C25" s="16">
        <v>10</v>
      </c>
      <c r="D25" s="12">
        <f>('STDs and Samples'!I39)</f>
        <v>0.40904063138078128</v>
      </c>
      <c r="E25" s="12">
        <f>('STDs and Samples'!J39)</f>
        <v>3719.2474034141542</v>
      </c>
      <c r="F25" s="12"/>
      <c r="G25" s="12"/>
      <c r="H25" s="12"/>
      <c r="I25" s="6"/>
      <c r="J25" s="6"/>
      <c r="K25" s="6"/>
      <c r="L25" s="6"/>
      <c r="M25" s="6"/>
      <c r="N25" s="6"/>
      <c r="O25" s="10"/>
    </row>
    <row r="26" spans="1:15" ht="17.25" thickBot="1" x14ac:dyDescent="0.35">
      <c r="A26" s="114" t="s">
        <v>24</v>
      </c>
      <c r="B26" s="35" t="s">
        <v>23</v>
      </c>
      <c r="C26" s="35">
        <v>10</v>
      </c>
      <c r="D26" s="46">
        <f>('STDs and Samples'!I43)</f>
        <v>0.36121763960224773</v>
      </c>
      <c r="E26" s="46">
        <f>('STDs and Samples'!J43)</f>
        <v>2782.3996702838117</v>
      </c>
      <c r="F26" s="46"/>
      <c r="G26" s="46"/>
      <c r="H26" s="46"/>
      <c r="I26" s="112"/>
      <c r="J26" s="112"/>
      <c r="K26" s="112"/>
      <c r="L26" s="112"/>
      <c r="M26" s="112"/>
      <c r="N26" s="112"/>
      <c r="O26" s="113"/>
    </row>
    <row r="27" spans="1:15" ht="16.5" x14ac:dyDescent="0.3">
      <c r="A27" s="120" t="s">
        <v>24</v>
      </c>
      <c r="B27" s="117" t="s">
        <v>19</v>
      </c>
      <c r="C27" s="117">
        <v>20</v>
      </c>
      <c r="D27" s="117">
        <f>('STDs and Samples'!I28)</f>
        <v>-0.40578957469192523</v>
      </c>
      <c r="E27" s="117">
        <f>('STDs and Samples'!J28)</f>
        <v>6754.4124719654064</v>
      </c>
      <c r="F27" s="117"/>
      <c r="G27" s="117"/>
      <c r="H27" s="117"/>
      <c r="I27" s="118"/>
      <c r="J27" s="118">
        <f>AVERAGE(D27:D31)</f>
        <v>-0.33589443286176079</v>
      </c>
      <c r="K27" s="118">
        <f>STDEV(D27:D31)</f>
        <v>0.10807624259639355</v>
      </c>
      <c r="L27" s="118">
        <f>K27/SQRT(5)</f>
        <v>4.8333165039658864E-2</v>
      </c>
      <c r="M27" s="118">
        <f>AVERAGE(E27:E31)</f>
        <v>6704.6058836710699</v>
      </c>
      <c r="N27" s="118">
        <f>STDEV(E27:E31)</f>
        <v>980.74796182455975</v>
      </c>
      <c r="O27" s="119">
        <f>N27/SQRT(5)</f>
        <v>438.60382228681681</v>
      </c>
    </row>
    <row r="28" spans="1:15" ht="16.5" x14ac:dyDescent="0.3">
      <c r="A28" s="106" t="s">
        <v>24</v>
      </c>
      <c r="B28" s="103" t="s">
        <v>20</v>
      </c>
      <c r="C28" s="103">
        <v>20</v>
      </c>
      <c r="D28" s="104">
        <f>('STDs and Samples'!I32)</f>
        <v>-0.37084200377684307</v>
      </c>
      <c r="E28" s="104">
        <f>('STDs and Samples'!J32)</f>
        <v>7396.0053721614959</v>
      </c>
      <c r="F28" s="104"/>
      <c r="G28" s="104"/>
      <c r="H28" s="104"/>
      <c r="I28" s="104"/>
      <c r="J28" s="104"/>
      <c r="K28" s="104"/>
      <c r="L28" s="104"/>
      <c r="M28" s="104"/>
      <c r="N28" s="104"/>
      <c r="O28" s="105"/>
    </row>
    <row r="29" spans="1:15" ht="16.5" x14ac:dyDescent="0.3">
      <c r="A29" s="106" t="s">
        <v>24</v>
      </c>
      <c r="B29" s="103" t="s">
        <v>21</v>
      </c>
      <c r="C29" s="103">
        <v>20</v>
      </c>
      <c r="D29" s="104">
        <f>('STDs and Samples'!I36)</f>
        <v>-0.35428789123811988</v>
      </c>
      <c r="E29" s="104">
        <f>('STDs and Samples'!J36)</f>
        <v>6543.8789309649846</v>
      </c>
      <c r="F29" s="104"/>
      <c r="G29" s="104"/>
      <c r="H29" s="104"/>
      <c r="I29" s="104"/>
      <c r="J29" s="104"/>
      <c r="K29" s="104"/>
      <c r="L29" s="104"/>
      <c r="M29" s="104"/>
      <c r="N29" s="104"/>
      <c r="O29" s="105"/>
    </row>
    <row r="30" spans="1:15" ht="16.5" x14ac:dyDescent="0.3">
      <c r="A30" s="106" t="s">
        <v>24</v>
      </c>
      <c r="B30" s="103" t="s">
        <v>22</v>
      </c>
      <c r="C30" s="103">
        <v>20</v>
      </c>
      <c r="D30" s="104">
        <f>('STDs and Samples'!I40)</f>
        <v>-0.40211088301665343</v>
      </c>
      <c r="E30" s="104">
        <f>('STDs and Samples'!J40)</f>
        <v>7673.8585108687321</v>
      </c>
      <c r="F30" s="104"/>
      <c r="G30" s="104"/>
      <c r="H30" s="104"/>
      <c r="I30" s="104"/>
      <c r="J30" s="104"/>
      <c r="K30" s="104"/>
      <c r="L30" s="104"/>
      <c r="M30" s="104"/>
      <c r="N30" s="104"/>
      <c r="O30" s="105"/>
    </row>
    <row r="31" spans="1:15" ht="17.25" thickBot="1" x14ac:dyDescent="0.35">
      <c r="A31" s="121" t="s">
        <v>24</v>
      </c>
      <c r="B31" s="108" t="s">
        <v>23</v>
      </c>
      <c r="C31" s="108">
        <v>20</v>
      </c>
      <c r="D31" s="109">
        <f>('STDs and Samples'!I44)</f>
        <v>-0.14644181158526248</v>
      </c>
      <c r="E31" s="109">
        <f>('STDs and Samples'!J44)</f>
        <v>5154.8741323947261</v>
      </c>
      <c r="F31" s="109"/>
      <c r="G31" s="109"/>
      <c r="H31" s="109"/>
      <c r="I31" s="109"/>
      <c r="J31" s="109"/>
      <c r="K31" s="109"/>
      <c r="L31" s="109"/>
      <c r="M31" s="109"/>
      <c r="N31" s="109"/>
      <c r="O31" s="110"/>
    </row>
    <row r="32" spans="1:15" ht="16.5" x14ac:dyDescent="0.3">
      <c r="A32" s="115" t="s">
        <v>24</v>
      </c>
      <c r="B32" s="93" t="s">
        <v>19</v>
      </c>
      <c r="C32" s="93">
        <v>35</v>
      </c>
      <c r="D32" s="93">
        <f>('STDs and Samples'!I29)</f>
        <v>-0.37268134961447896</v>
      </c>
      <c r="E32" s="93">
        <f>('STDs and Samples'!J29)</f>
        <v>9556.0504565196206</v>
      </c>
      <c r="F32" s="93"/>
      <c r="G32" s="93"/>
      <c r="H32" s="93"/>
      <c r="I32" s="5"/>
      <c r="J32" s="5">
        <f>AVERAGE(D32:D36)</f>
        <v>-0.45839486564831217</v>
      </c>
      <c r="K32" s="5">
        <f>STDEV(D32:D36)</f>
        <v>9.679399093285565E-2</v>
      </c>
      <c r="L32" s="5">
        <f>K32/SQRT(5)</f>
        <v>4.32875887078727E-2</v>
      </c>
      <c r="M32" s="5">
        <f>AVERAGE(E32:E36)</f>
        <v>9677.6936040307737</v>
      </c>
      <c r="N32" s="5">
        <f>STDEV(E32:E36)</f>
        <v>1835.3589277061014</v>
      </c>
      <c r="O32" s="8">
        <f>N32/SQRT(5)</f>
        <v>820.79746509239294</v>
      </c>
    </row>
    <row r="33" spans="1:15" ht="16.5" x14ac:dyDescent="0.3">
      <c r="A33" s="91" t="s">
        <v>24</v>
      </c>
      <c r="B33" s="16" t="s">
        <v>20</v>
      </c>
      <c r="C33" s="16">
        <v>35</v>
      </c>
      <c r="D33" s="12">
        <f>('STDs and Samples'!I33)</f>
        <v>-0.62099303769532621</v>
      </c>
      <c r="E33" s="12">
        <f>('STDs and Samples'!J33)</f>
        <v>12618.044224066547</v>
      </c>
      <c r="F33" s="12"/>
      <c r="G33" s="12"/>
      <c r="H33" s="12"/>
      <c r="I33" s="6"/>
      <c r="J33" s="6"/>
      <c r="K33" s="6"/>
      <c r="L33" s="6"/>
      <c r="M33" s="6"/>
      <c r="N33" s="6"/>
      <c r="O33" s="10"/>
    </row>
    <row r="34" spans="1:15" ht="16.5" x14ac:dyDescent="0.3">
      <c r="A34" s="91" t="s">
        <v>24</v>
      </c>
      <c r="B34" s="16" t="s">
        <v>21</v>
      </c>
      <c r="C34" s="16">
        <v>35</v>
      </c>
      <c r="D34" s="12">
        <f>('STDs and Samples'!I37)</f>
        <v>-0.46648798733391017</v>
      </c>
      <c r="E34" s="12">
        <f>('STDs and Samples'!J37)</f>
        <v>9695.2118313425672</v>
      </c>
      <c r="F34" s="12"/>
      <c r="G34" s="12"/>
      <c r="H34" s="12"/>
      <c r="I34" s="6"/>
      <c r="J34" s="6"/>
      <c r="K34" s="6"/>
      <c r="L34" s="6"/>
      <c r="M34" s="6"/>
      <c r="N34" s="6"/>
      <c r="O34" s="10"/>
    </row>
    <row r="35" spans="1:15" ht="16.5" x14ac:dyDescent="0.3">
      <c r="A35" s="91" t="s">
        <v>24</v>
      </c>
      <c r="B35" s="16" t="s">
        <v>22</v>
      </c>
      <c r="C35" s="16">
        <v>35</v>
      </c>
      <c r="D35" s="12">
        <f>('STDs and Samples'!I41)</f>
        <v>-0.41866499555537662</v>
      </c>
      <c r="E35" s="12">
        <f>('STDs and Samples'!J41)</f>
        <v>8888.5941687017676</v>
      </c>
      <c r="F35" s="12"/>
      <c r="G35" s="12"/>
      <c r="H35" s="12"/>
      <c r="I35" s="6"/>
      <c r="J35" s="6"/>
      <c r="K35" s="6"/>
      <c r="L35" s="6"/>
      <c r="M35" s="6"/>
      <c r="N35" s="6"/>
      <c r="O35" s="10"/>
    </row>
    <row r="36" spans="1:15" ht="17.25" thickBot="1" x14ac:dyDescent="0.35">
      <c r="A36" s="114" t="s">
        <v>24</v>
      </c>
      <c r="B36" s="35" t="s">
        <v>23</v>
      </c>
      <c r="C36" s="35">
        <v>35</v>
      </c>
      <c r="D36" s="46">
        <f>('STDs and Samples'!I45)</f>
        <v>-0.41314695804246881</v>
      </c>
      <c r="E36" s="46">
        <f>('STDs and Samples'!J45)</f>
        <v>7630.5673395233607</v>
      </c>
      <c r="F36" s="46"/>
      <c r="G36" s="46"/>
      <c r="H36" s="46"/>
      <c r="I36" s="112"/>
      <c r="J36" s="112"/>
      <c r="K36" s="112"/>
      <c r="L36" s="112"/>
      <c r="M36" s="112"/>
      <c r="N36" s="112"/>
      <c r="O36" s="113"/>
    </row>
    <row r="37" spans="1:15" ht="16.5" x14ac:dyDescent="0.3">
      <c r="A37" s="120" t="s">
        <v>24</v>
      </c>
      <c r="B37" s="117" t="s">
        <v>19</v>
      </c>
      <c r="C37" s="117">
        <v>50</v>
      </c>
      <c r="D37" s="117">
        <f>('STDs and Samples'!I30)</f>
        <v>-0.65226191693513669</v>
      </c>
      <c r="E37" s="117">
        <f>('STDs and Samples'!J30)</f>
        <v>18789.601607946901</v>
      </c>
      <c r="F37" s="117"/>
      <c r="G37" s="117"/>
      <c r="H37" s="117"/>
      <c r="I37" s="118"/>
      <c r="J37" s="118">
        <f>AVERAGE(D37:D41)</f>
        <v>-0.58420612094260815</v>
      </c>
      <c r="K37" s="118">
        <f>STDEV(D37:D41)</f>
        <v>8.339156695065747E-2</v>
      </c>
      <c r="L37" s="118">
        <f>K37/SQRT(5)</f>
        <v>3.7293842490378988E-2</v>
      </c>
      <c r="M37" s="118">
        <f>AVERAGE(E37:E41)</f>
        <v>16104.312342395389</v>
      </c>
      <c r="N37" s="118">
        <f>STDEV(E37:E41)</f>
        <v>2466.9790074167568</v>
      </c>
      <c r="O37" s="119">
        <f>N37/SQRT(5)</f>
        <v>1103.2665519297652</v>
      </c>
    </row>
    <row r="38" spans="1:15" ht="16.5" x14ac:dyDescent="0.3">
      <c r="A38" s="106" t="s">
        <v>24</v>
      </c>
      <c r="B38" s="103" t="s">
        <v>20</v>
      </c>
      <c r="C38" s="103">
        <v>50</v>
      </c>
      <c r="D38" s="104">
        <f>('STDs and Samples'!I34)</f>
        <v>-0.65410126277277258</v>
      </c>
      <c r="E38" s="104">
        <f>('STDs and Samples'!J34)</f>
        <v>16984.434552735136</v>
      </c>
      <c r="F38" s="104"/>
      <c r="G38" s="104"/>
      <c r="H38" s="104"/>
      <c r="I38" s="104"/>
      <c r="J38" s="104"/>
      <c r="K38" s="104"/>
      <c r="L38" s="104"/>
      <c r="M38" s="104"/>
      <c r="N38" s="104"/>
      <c r="O38" s="105"/>
    </row>
    <row r="39" spans="1:15" ht="16.5" x14ac:dyDescent="0.3">
      <c r="A39" s="106" t="s">
        <v>24</v>
      </c>
      <c r="B39" s="103" t="s">
        <v>21</v>
      </c>
      <c r="C39" s="103">
        <v>50</v>
      </c>
      <c r="D39" s="104">
        <f>('STDs and Samples'!I38)</f>
        <v>-0.60076023348133134</v>
      </c>
      <c r="E39" s="104">
        <f>('STDs and Samples'!J38)</f>
        <v>17681.0588977431</v>
      </c>
      <c r="F39" s="104"/>
      <c r="G39" s="104"/>
      <c r="H39" s="104"/>
      <c r="I39" s="104"/>
      <c r="J39" s="104"/>
      <c r="K39" s="104"/>
      <c r="L39" s="104"/>
      <c r="M39" s="104"/>
      <c r="N39" s="104"/>
      <c r="O39" s="105"/>
    </row>
    <row r="40" spans="1:15" ht="16.5" x14ac:dyDescent="0.3">
      <c r="A40" s="106" t="s">
        <v>24</v>
      </c>
      <c r="B40" s="103" t="s">
        <v>22</v>
      </c>
      <c r="C40" s="103">
        <v>50</v>
      </c>
      <c r="D40" s="104">
        <f>('STDs and Samples'!I42)</f>
        <v>-0.45177322063282288</v>
      </c>
      <c r="E40" s="104">
        <f>('STDs and Samples'!J42)</f>
        <v>12962.477758077152</v>
      </c>
      <c r="F40" s="104"/>
      <c r="G40" s="104"/>
      <c r="H40" s="104"/>
      <c r="I40" s="104"/>
      <c r="J40" s="104"/>
      <c r="K40" s="104"/>
      <c r="L40" s="104"/>
      <c r="M40" s="104"/>
      <c r="N40" s="104"/>
      <c r="O40" s="105"/>
    </row>
    <row r="41" spans="1:15" ht="17.25" thickBot="1" x14ac:dyDescent="0.35">
      <c r="A41" s="121" t="s">
        <v>24</v>
      </c>
      <c r="B41" s="108" t="s">
        <v>23</v>
      </c>
      <c r="C41" s="108">
        <v>50</v>
      </c>
      <c r="D41" s="109">
        <f>('STDs and Samples'!I46)</f>
        <v>-0.56213397089097727</v>
      </c>
      <c r="E41" s="109">
        <f>('STDs and Samples'!J46)</f>
        <v>14103.988895474664</v>
      </c>
      <c r="F41" s="109"/>
      <c r="G41" s="109"/>
      <c r="H41" s="109"/>
      <c r="I41" s="109"/>
      <c r="J41" s="109"/>
      <c r="K41" s="109"/>
      <c r="L41" s="109"/>
      <c r="M41" s="109"/>
      <c r="N41" s="109"/>
      <c r="O41" s="110"/>
    </row>
    <row r="42" spans="1:15" ht="16.5" x14ac:dyDescent="0.3">
      <c r="A42" s="92" t="s">
        <v>25</v>
      </c>
      <c r="B42" s="93" t="s">
        <v>19</v>
      </c>
      <c r="C42" s="93">
        <v>10</v>
      </c>
      <c r="D42" s="94">
        <f>('STDs and Samples'!I47)</f>
        <v>0.31707333949898597</v>
      </c>
      <c r="E42" s="94">
        <f>('STDs and Samples'!J47)</f>
        <v>1457.3054418656491</v>
      </c>
      <c r="F42" s="94"/>
      <c r="G42" s="94"/>
      <c r="H42" s="94"/>
      <c r="I42" s="5"/>
      <c r="J42" s="5">
        <f>AVERAGE(D42:D46)</f>
        <v>0.18795126169694529</v>
      </c>
      <c r="K42" s="5">
        <f>STDEV(D42:D46)</f>
        <v>0.17208650712418755</v>
      </c>
      <c r="L42" s="5">
        <f>K42/SQRT(5)</f>
        <v>7.6959425588037034E-2</v>
      </c>
      <c r="M42" s="5">
        <f>AVERAGE(E42:E46)</f>
        <v>3730.8920153931517</v>
      </c>
      <c r="N42" s="5">
        <f>STDEV(E42:E46)</f>
        <v>2124.685057880552</v>
      </c>
      <c r="O42" s="8">
        <f>N42/SQRT(5)</f>
        <v>950.18804403979789</v>
      </c>
    </row>
    <row r="43" spans="1:15" ht="16.5" x14ac:dyDescent="0.3">
      <c r="A43" s="90" t="s">
        <v>25</v>
      </c>
      <c r="B43" s="16" t="s">
        <v>20</v>
      </c>
      <c r="C43" s="16">
        <v>10</v>
      </c>
      <c r="D43" s="12">
        <f>('STDs and Samples'!I51)</f>
        <v>0.10370922233322077</v>
      </c>
      <c r="E43" s="12">
        <f>('STDs and Samples'!J51)</f>
        <v>4852.9925673260468</v>
      </c>
      <c r="F43" s="12"/>
      <c r="G43" s="12"/>
      <c r="H43" s="12"/>
      <c r="I43" s="6"/>
      <c r="J43" s="6"/>
      <c r="K43" s="6"/>
      <c r="L43" s="6"/>
      <c r="M43" s="6"/>
      <c r="N43" s="6"/>
      <c r="O43" s="10"/>
    </row>
    <row r="44" spans="1:15" ht="16.5" x14ac:dyDescent="0.3">
      <c r="A44" s="90" t="s">
        <v>25</v>
      </c>
      <c r="B44" s="16" t="s">
        <v>21</v>
      </c>
      <c r="C44" s="16">
        <v>10</v>
      </c>
      <c r="D44" s="12">
        <f>('STDs and Samples'!I55)</f>
        <v>0.31523399366134996</v>
      </c>
      <c r="E44" s="12">
        <f>('STDs and Samples'!J55)</f>
        <v>3816.1611867554193</v>
      </c>
      <c r="F44" s="12"/>
      <c r="G44" s="12"/>
      <c r="H44" s="12"/>
      <c r="I44" s="6"/>
      <c r="J44" s="6"/>
      <c r="K44" s="6"/>
      <c r="L44" s="6"/>
      <c r="M44" s="6"/>
      <c r="N44" s="6"/>
      <c r="O44" s="10"/>
    </row>
    <row r="45" spans="1:15" ht="16.5" x14ac:dyDescent="0.3">
      <c r="A45" s="90" t="s">
        <v>25</v>
      </c>
      <c r="B45" s="16" t="s">
        <v>22</v>
      </c>
      <c r="C45" s="16">
        <v>10</v>
      </c>
      <c r="D45" s="12">
        <f>('STDs and Samples'!I59)</f>
        <v>0.2802864227462678</v>
      </c>
      <c r="E45" s="12">
        <f>('STDs and Samples'!J59)</f>
        <v>1913.1324298262057</v>
      </c>
      <c r="F45" s="12"/>
      <c r="G45" s="12"/>
      <c r="H45" s="12"/>
      <c r="I45" s="6"/>
      <c r="J45" s="6"/>
      <c r="K45" s="6"/>
      <c r="L45" s="6"/>
      <c r="M45" s="6"/>
      <c r="N45" s="6"/>
      <c r="O45" s="10"/>
    </row>
    <row r="46" spans="1:15" ht="17.25" thickBot="1" x14ac:dyDescent="0.35">
      <c r="A46" s="111" t="s">
        <v>25</v>
      </c>
      <c r="B46" s="35" t="s">
        <v>23</v>
      </c>
      <c r="C46" s="35">
        <v>10</v>
      </c>
      <c r="D46" s="46">
        <f>('STDs and Samples'!I63)</f>
        <v>-7.6546669755098051E-2</v>
      </c>
      <c r="E46" s="46">
        <f>('STDs and Samples'!J63)</f>
        <v>6614.8684511924394</v>
      </c>
      <c r="F46" s="46"/>
      <c r="G46" s="46"/>
      <c r="H46" s="46"/>
      <c r="I46" s="112"/>
      <c r="J46" s="112"/>
      <c r="K46" s="112"/>
      <c r="L46" s="112"/>
      <c r="M46" s="112"/>
      <c r="N46" s="112"/>
      <c r="O46" s="113"/>
    </row>
    <row r="47" spans="1:15" ht="16.5" x14ac:dyDescent="0.3">
      <c r="A47" s="116" t="s">
        <v>25</v>
      </c>
      <c r="B47" s="117" t="s">
        <v>19</v>
      </c>
      <c r="C47" s="117">
        <v>20</v>
      </c>
      <c r="D47" s="118">
        <f>('STDs and Samples'!I48)</f>
        <v>-0.43889779976937149</v>
      </c>
      <c r="E47" s="118">
        <f>('STDs and Samples'!J48)</f>
        <v>6542.6005456319654</v>
      </c>
      <c r="F47" s="118"/>
      <c r="G47" s="118"/>
      <c r="H47" s="118"/>
      <c r="I47" s="118"/>
      <c r="J47" s="118">
        <f>AVERAGE(D47:D51)</f>
        <v>-0.57537726092195585</v>
      </c>
      <c r="K47" s="118">
        <f>STDEV(D47:D51)</f>
        <v>0.10856348298944675</v>
      </c>
      <c r="L47" s="118">
        <f>K47/SQRT(5)</f>
        <v>4.8551065567709002E-2</v>
      </c>
      <c r="M47" s="118">
        <f>AVERAGE(E47:E51)</f>
        <v>8797.2391874344194</v>
      </c>
      <c r="N47" s="118">
        <f>STDEV(E47:E51)</f>
        <v>2286.5539284426882</v>
      </c>
      <c r="O47" s="119">
        <f>N47/SQRT(5)</f>
        <v>1022.5780036434081</v>
      </c>
    </row>
    <row r="48" spans="1:15" ht="16.5" x14ac:dyDescent="0.3">
      <c r="A48" s="102" t="s">
        <v>25</v>
      </c>
      <c r="B48" s="103" t="s">
        <v>20</v>
      </c>
      <c r="C48" s="103">
        <v>20</v>
      </c>
      <c r="D48" s="104">
        <f>('STDs and Samples'!I52)</f>
        <v>-0.63202911272114171</v>
      </c>
      <c r="E48" s="104">
        <f>('STDs and Samples'!J52)</f>
        <v>9778.8547574172535</v>
      </c>
      <c r="F48" s="104"/>
      <c r="G48" s="104"/>
      <c r="H48" s="104"/>
      <c r="I48" s="104"/>
      <c r="J48" s="104"/>
      <c r="K48" s="104"/>
      <c r="L48" s="104"/>
      <c r="M48" s="104"/>
      <c r="N48" s="104"/>
      <c r="O48" s="105"/>
    </row>
    <row r="49" spans="1:15" ht="16.5" x14ac:dyDescent="0.3">
      <c r="A49" s="102" t="s">
        <v>25</v>
      </c>
      <c r="B49" s="103" t="s">
        <v>21</v>
      </c>
      <c r="C49" s="103">
        <v>20</v>
      </c>
      <c r="D49" s="104">
        <f>('STDs and Samples'!I56)</f>
        <v>-0.60627827099423903</v>
      </c>
      <c r="E49" s="104">
        <f>('STDs and Samples'!J56)</f>
        <v>11542.3394935735</v>
      </c>
      <c r="F49" s="104"/>
      <c r="G49" s="104"/>
      <c r="H49" s="104"/>
      <c r="I49" s="104"/>
      <c r="J49" s="104"/>
      <c r="K49" s="104"/>
      <c r="L49" s="104"/>
      <c r="M49" s="104"/>
      <c r="N49" s="104"/>
      <c r="O49" s="105"/>
    </row>
    <row r="50" spans="1:15" ht="16.5" x14ac:dyDescent="0.3">
      <c r="A50" s="102" t="s">
        <v>25</v>
      </c>
      <c r="B50" s="103" t="s">
        <v>22</v>
      </c>
      <c r="C50" s="103">
        <v>20</v>
      </c>
      <c r="D50" s="104">
        <f>('STDs and Samples'!I60)</f>
        <v>-0.49223882906081284</v>
      </c>
      <c r="E50" s="104">
        <f>('STDs and Samples'!J60)</f>
        <v>6293.8198026273358</v>
      </c>
      <c r="F50" s="104"/>
      <c r="G50" s="104"/>
      <c r="H50" s="104"/>
      <c r="I50" s="104"/>
      <c r="J50" s="104"/>
      <c r="K50" s="104"/>
      <c r="L50" s="104"/>
      <c r="M50" s="104"/>
      <c r="N50" s="104"/>
      <c r="O50" s="105"/>
    </row>
    <row r="51" spans="1:15" ht="17.25" thickBot="1" x14ac:dyDescent="0.35">
      <c r="A51" s="107" t="s">
        <v>25</v>
      </c>
      <c r="B51" s="108" t="s">
        <v>23</v>
      </c>
      <c r="C51" s="108">
        <v>20</v>
      </c>
      <c r="D51" s="109">
        <f>('STDs and Samples'!I64)</f>
        <v>-0.70744229206421383</v>
      </c>
      <c r="E51" s="109">
        <f>('STDs and Samples'!J64)</f>
        <v>9828.5813379220417</v>
      </c>
      <c r="F51" s="109"/>
      <c r="G51" s="109"/>
      <c r="H51" s="109"/>
      <c r="I51" s="109"/>
      <c r="J51" s="109"/>
      <c r="K51" s="109"/>
      <c r="L51" s="109"/>
      <c r="M51" s="109"/>
      <c r="N51" s="109"/>
      <c r="O51" s="110"/>
    </row>
    <row r="52" spans="1:15" ht="16.5" x14ac:dyDescent="0.3">
      <c r="A52" s="92" t="s">
        <v>25</v>
      </c>
      <c r="B52" s="93" t="s">
        <v>19</v>
      </c>
      <c r="C52" s="93">
        <v>35</v>
      </c>
      <c r="D52" s="94">
        <f>('STDs and Samples'!I49)</f>
        <v>-0.49407817489844874</v>
      </c>
      <c r="E52" s="94">
        <f>('STDs and Samples'!J49)</f>
        <v>9305.5217172433113</v>
      </c>
      <c r="F52" s="94"/>
      <c r="G52" s="94"/>
      <c r="H52" s="94"/>
      <c r="I52" s="5"/>
      <c r="J52" s="5">
        <f>AVERAGE(D52:D56)</f>
        <v>-0.59561006513595083</v>
      </c>
      <c r="K52" s="5">
        <f>STDEV(D52:D56)</f>
        <v>8.1942805457633022E-2</v>
      </c>
      <c r="L52" s="5">
        <f>K52/SQRT(5)</f>
        <v>3.6645936654061635E-2</v>
      </c>
      <c r="M52" s="5">
        <f>AVERAGE(E52:E56)</f>
        <v>12097.089156112925</v>
      </c>
      <c r="N52" s="5">
        <f>STDEV(E52:E56)</f>
        <v>3531.1254195083566</v>
      </c>
      <c r="O52" s="8">
        <f>N52/SQRT(5)</f>
        <v>1579.1672950196294</v>
      </c>
    </row>
    <row r="53" spans="1:15" ht="16.5" x14ac:dyDescent="0.3">
      <c r="A53" s="90" t="s">
        <v>25</v>
      </c>
      <c r="B53" s="16" t="s">
        <v>20</v>
      </c>
      <c r="C53" s="16">
        <v>35</v>
      </c>
      <c r="D53" s="12">
        <f>('STDs and Samples'!I53)</f>
        <v>-0.55477658754043369</v>
      </c>
      <c r="E53" s="12">
        <f>('STDs and Samples'!J53)</f>
        <v>11318.60466729741</v>
      </c>
      <c r="F53" s="12"/>
      <c r="G53" s="12"/>
      <c r="H53" s="12"/>
      <c r="I53" s="6"/>
      <c r="J53" s="6"/>
      <c r="K53" s="6"/>
      <c r="L53" s="6"/>
      <c r="M53" s="6"/>
      <c r="N53" s="6"/>
      <c r="O53" s="10"/>
    </row>
    <row r="54" spans="1:15" ht="16.5" x14ac:dyDescent="0.3">
      <c r="A54" s="90" t="s">
        <v>25</v>
      </c>
      <c r="B54" s="16" t="s">
        <v>21</v>
      </c>
      <c r="C54" s="16">
        <v>35</v>
      </c>
      <c r="D54" s="12">
        <f>('STDs and Samples'!I57)</f>
        <v>-0.56949135424152086</v>
      </c>
      <c r="E54" s="12">
        <f>('STDs and Samples'!J57)</f>
        <v>14408.009799263906</v>
      </c>
      <c r="F54" s="12"/>
      <c r="G54" s="12"/>
      <c r="H54" s="12"/>
      <c r="I54" s="6"/>
      <c r="J54" s="6"/>
      <c r="K54" s="6"/>
      <c r="L54" s="6"/>
      <c r="M54" s="6"/>
      <c r="N54" s="6"/>
      <c r="O54" s="10"/>
    </row>
    <row r="55" spans="1:15" ht="16.5" x14ac:dyDescent="0.3">
      <c r="A55" s="90" t="s">
        <v>25</v>
      </c>
      <c r="B55" s="16" t="s">
        <v>22</v>
      </c>
      <c r="C55" s="16">
        <v>35</v>
      </c>
      <c r="D55" s="12">
        <f>('STDs and Samples'!I61)</f>
        <v>-0.67801275866203936</v>
      </c>
      <c r="E55" s="12">
        <f>('STDs and Samples'!J61)</f>
        <v>8522.8803019707684</v>
      </c>
      <c r="F55" s="12"/>
      <c r="G55" s="12"/>
      <c r="H55" s="12"/>
      <c r="I55" s="6"/>
      <c r="J55" s="6"/>
      <c r="K55" s="6"/>
      <c r="L55" s="6"/>
      <c r="M55" s="6"/>
      <c r="N55" s="6"/>
      <c r="O55" s="10"/>
    </row>
    <row r="56" spans="1:15" ht="17.25" thickBot="1" x14ac:dyDescent="0.35">
      <c r="A56" s="111" t="s">
        <v>25</v>
      </c>
      <c r="B56" s="35" t="s">
        <v>23</v>
      </c>
      <c r="C56" s="35">
        <v>35</v>
      </c>
      <c r="D56" s="46">
        <f>('STDs and Samples'!I65)</f>
        <v>-0.68169145033731116</v>
      </c>
      <c r="E56" s="46">
        <f>('STDs and Samples'!J65)</f>
        <v>16930.429294789225</v>
      </c>
      <c r="F56" s="46"/>
      <c r="G56" s="46"/>
      <c r="H56" s="46"/>
      <c r="I56" s="112"/>
      <c r="J56" s="112"/>
      <c r="K56" s="112"/>
      <c r="L56" s="112"/>
      <c r="M56" s="112"/>
      <c r="N56" s="112"/>
      <c r="O56" s="113"/>
    </row>
    <row r="57" spans="1:15" ht="16.5" x14ac:dyDescent="0.3">
      <c r="A57" s="116" t="s">
        <v>25</v>
      </c>
      <c r="B57" s="117" t="s">
        <v>19</v>
      </c>
      <c r="C57" s="117">
        <v>50</v>
      </c>
      <c r="D57" s="118">
        <f>('STDs and Samples'!I50)</f>
        <v>-1.1396885639086518</v>
      </c>
      <c r="E57" s="118">
        <f>('STDs and Samples'!J50)</f>
        <v>18434.68009630622</v>
      </c>
      <c r="F57" s="118"/>
      <c r="G57" s="118"/>
      <c r="H57" s="118"/>
      <c r="I57" s="118"/>
      <c r="J57" s="118">
        <f>AVERAGE(D57:D61)</f>
        <v>-0.75636889134532892</v>
      </c>
      <c r="K57" s="118">
        <f>STDEV(D57:D61)</f>
        <v>0.24387325939134133</v>
      </c>
      <c r="L57" s="118">
        <f>K57/SQRT(5)</f>
        <v>0.10906343717869564</v>
      </c>
      <c r="M57" s="118">
        <f>AVERAGE(E57:E61)</f>
        <v>16560.306303134137</v>
      </c>
      <c r="N57" s="118">
        <f>STDEV(E57:E61)</f>
        <v>4644.4907356436015</v>
      </c>
      <c r="O57" s="119">
        <f>N57/SQRT(5)</f>
        <v>2077.0794011534194</v>
      </c>
    </row>
    <row r="58" spans="1:15" ht="16.5" x14ac:dyDescent="0.3">
      <c r="A58" s="102" t="s">
        <v>25</v>
      </c>
      <c r="B58" s="103" t="s">
        <v>20</v>
      </c>
      <c r="C58" s="103">
        <v>50</v>
      </c>
      <c r="D58" s="104">
        <f>('STDs and Samples'!I54)</f>
        <v>-0.45913060398336647</v>
      </c>
      <c r="E58" s="104">
        <f>('STDs and Samples'!J54)</f>
        <v>11900.617853775713</v>
      </c>
      <c r="F58" s="104"/>
      <c r="G58" s="104"/>
      <c r="H58" s="104"/>
      <c r="I58" s="104"/>
      <c r="J58" s="104"/>
      <c r="K58" s="104"/>
      <c r="L58" s="104"/>
      <c r="M58" s="104"/>
      <c r="N58" s="104"/>
      <c r="O58" s="105"/>
    </row>
    <row r="59" spans="1:15" ht="16.5" x14ac:dyDescent="0.3">
      <c r="A59" s="102" t="s">
        <v>25</v>
      </c>
      <c r="B59" s="103" t="s">
        <v>21</v>
      </c>
      <c r="C59" s="103">
        <v>50</v>
      </c>
      <c r="D59" s="104">
        <f>('STDs and Samples'!I58)</f>
        <v>-0.7350324796287524</v>
      </c>
      <c r="E59" s="104">
        <f>('STDs and Samples'!J58)</f>
        <v>21269.660457505302</v>
      </c>
      <c r="F59" s="104"/>
      <c r="G59" s="104"/>
      <c r="H59" s="104"/>
      <c r="I59" s="104"/>
      <c r="J59" s="104"/>
      <c r="K59" s="104"/>
      <c r="L59" s="104"/>
      <c r="M59" s="104"/>
      <c r="N59" s="104"/>
      <c r="O59" s="105"/>
    </row>
    <row r="60" spans="1:15" ht="16.5" x14ac:dyDescent="0.3">
      <c r="A60" s="102" t="s">
        <v>25</v>
      </c>
      <c r="B60" s="103" t="s">
        <v>22</v>
      </c>
      <c r="C60" s="103">
        <v>50</v>
      </c>
      <c r="D60" s="104">
        <f>('STDs and Samples'!I62)</f>
        <v>-0.72951444211584471</v>
      </c>
      <c r="E60" s="104">
        <f>('STDs and Samples'!J62)</f>
        <v>11295.367622332598</v>
      </c>
      <c r="F60" s="104"/>
      <c r="G60" s="104"/>
      <c r="H60" s="104"/>
      <c r="I60" s="104"/>
      <c r="J60" s="104"/>
      <c r="K60" s="104"/>
      <c r="L60" s="104"/>
      <c r="M60" s="104"/>
      <c r="N60" s="104"/>
      <c r="O60" s="105"/>
    </row>
    <row r="61" spans="1:15" ht="17.25" thickBot="1" x14ac:dyDescent="0.35">
      <c r="A61" s="107" t="s">
        <v>25</v>
      </c>
      <c r="B61" s="108" t="s">
        <v>23</v>
      </c>
      <c r="C61" s="108">
        <v>50</v>
      </c>
      <c r="D61" s="109">
        <f>('STDs and Samples'!I66)</f>
        <v>-0.71847836709002921</v>
      </c>
      <c r="E61" s="109">
        <f>('STDs and Samples'!J66)</f>
        <v>19901.205485750856</v>
      </c>
      <c r="F61" s="109"/>
      <c r="G61" s="109"/>
      <c r="H61" s="109"/>
      <c r="I61" s="109"/>
      <c r="J61" s="109"/>
      <c r="K61" s="109"/>
      <c r="L61" s="109"/>
      <c r="M61" s="109"/>
      <c r="N61" s="109"/>
      <c r="O61" s="110"/>
    </row>
    <row r="62" spans="1:15" ht="16.5" x14ac:dyDescent="0.3">
      <c r="A62" s="79"/>
      <c r="B62" s="79"/>
      <c r="C62" s="79"/>
      <c r="D62" s="79"/>
      <c r="E62" s="79"/>
      <c r="F62" s="79"/>
      <c r="G62" s="79"/>
      <c r="H62" s="79"/>
    </row>
  </sheetData>
  <sortState xmlns:xlrd2="http://schemas.microsoft.com/office/spreadsheetml/2017/richdata2" ref="A2:S62">
    <sortCondition ref="A2:A62"/>
    <sortCondition ref="C2:C62"/>
    <sortCondition ref="B2:B6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STDs and Samples</vt:lpstr>
      <vt:lpstr>Sheet1</vt:lpstr>
      <vt:lpstr>'STDs and Samples'!Print_Titles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Anya Hopple</dc:creator>
  <cp:lastModifiedBy>Stearns, Alice</cp:lastModifiedBy>
  <cp:lastPrinted>2021-07-14T18:10:05Z</cp:lastPrinted>
  <dcterms:created xsi:type="dcterms:W3CDTF">2014-08-19T17:33:21Z</dcterms:created>
  <dcterms:modified xsi:type="dcterms:W3CDTF">2021-11-17T20:37:31Z</dcterms:modified>
</cp:coreProperties>
</file>