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Si-sercfs01\serc\Shared\Biogeochemistry\TEMPEST\Soil (GHG)\"/>
    </mc:Choice>
  </mc:AlternateContent>
  <xr:revisionPtr revIDLastSave="0" documentId="13_ncr:1_{6F0E8C4C-CCCD-47EB-A76F-EF2DCCBDB92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42" i="1" l="1"/>
  <c r="Q43" i="1"/>
  <c r="Q41" i="1"/>
  <c r="P42" i="1"/>
  <c r="Q29" i="1"/>
  <c r="P29" i="1"/>
  <c r="Q8" i="1"/>
  <c r="P43" i="1" l="1"/>
  <c r="P41" i="1"/>
  <c r="P38" i="1"/>
  <c r="P14" i="1"/>
  <c r="Q14" i="1"/>
  <c r="Q11" i="1"/>
  <c r="Q38" i="1" l="1"/>
  <c r="Q35" i="1"/>
  <c r="P35" i="1"/>
  <c r="Q32" i="1"/>
  <c r="P32" i="1"/>
  <c r="Q26" i="1"/>
  <c r="P26" i="1"/>
  <c r="Q20" i="1"/>
  <c r="P20" i="1"/>
  <c r="Q17" i="1"/>
  <c r="P17" i="1"/>
  <c r="P11" i="1"/>
  <c r="P8" i="1"/>
  <c r="AB31" i="1" l="1"/>
  <c r="AB14" i="1"/>
  <c r="AB30" i="1"/>
  <c r="AB29" i="1"/>
  <c r="AB15" i="1"/>
  <c r="AB16" i="1"/>
  <c r="I7" i="1" l="1"/>
  <c r="D2" i="2" s="1"/>
  <c r="I25" i="1"/>
  <c r="D16" i="2" s="1"/>
  <c r="I19" i="1"/>
  <c r="D5" i="2" s="1"/>
  <c r="I48" i="1"/>
  <c r="D47" i="2" s="1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I17" i="1"/>
  <c r="D14" i="2" s="1"/>
  <c r="I20" i="1"/>
  <c r="D10" i="2" s="1"/>
  <c r="I56" i="1"/>
  <c r="D49" i="2" s="1"/>
  <c r="I53" i="1"/>
  <c r="D53" i="2" s="1"/>
  <c r="I55" i="1"/>
  <c r="D44" i="2" s="1"/>
  <c r="I62" i="1"/>
  <c r="D60" i="2" s="1"/>
  <c r="I42" i="1"/>
  <c r="D40" i="2" s="1"/>
  <c r="I29" i="1"/>
  <c r="D32" i="2" s="1"/>
  <c r="I49" i="1"/>
  <c r="D52" i="2" s="1"/>
  <c r="I27" i="1"/>
  <c r="D22" i="2" s="1"/>
  <c r="I64" i="1"/>
  <c r="D51" i="2" s="1"/>
  <c r="I12" i="1"/>
  <c r="D8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I51" i="1"/>
  <c r="D43" i="2" s="1"/>
  <c r="I57" i="1"/>
  <c r="D54" i="2" s="1"/>
  <c r="I36" i="1"/>
  <c r="D29" i="2" s="1"/>
  <c r="I46" i="1"/>
  <c r="D41" i="2" s="1"/>
  <c r="I33" i="1"/>
  <c r="D33" i="2" s="1"/>
  <c r="I50" i="1"/>
  <c r="D57" i="2" s="1"/>
  <c r="I59" i="1"/>
  <c r="D45" i="2" s="1"/>
  <c r="I18" i="1"/>
  <c r="D19" i="2" s="1"/>
  <c r="I44" i="1"/>
  <c r="D31" i="2" s="1"/>
  <c r="I13" i="1"/>
  <c r="D13" i="2" s="1"/>
  <c r="I15" i="1"/>
  <c r="D4" i="2" s="1"/>
  <c r="I16" i="1"/>
  <c r="D9" i="2" s="1"/>
  <c r="I34" i="1"/>
  <c r="D38" i="2" s="1"/>
  <c r="I52" i="1"/>
  <c r="D48" i="2" s="1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46" i="1"/>
  <c r="E41" i="2" s="1"/>
  <c r="J38" i="1"/>
  <c r="E39" i="2" s="1"/>
  <c r="J30" i="1"/>
  <c r="E37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N7" i="2" l="1"/>
  <c r="O7" i="2" s="1"/>
  <c r="M7" i="2"/>
  <c r="N12" i="2"/>
  <c r="O12" i="2" s="1"/>
  <c r="M12" i="2"/>
  <c r="N57" i="2"/>
  <c r="O57" i="2" s="1"/>
  <c r="M57" i="2"/>
  <c r="N37" i="2"/>
  <c r="O37" i="2" s="1"/>
  <c r="M37" i="2"/>
  <c r="N17" i="2"/>
  <c r="O17" i="2" s="1"/>
  <c r="M17" i="2"/>
  <c r="N27" i="2"/>
  <c r="O27" i="2" s="1"/>
  <c r="M27" i="2"/>
  <c r="N2" i="2"/>
  <c r="O2" i="2" s="1"/>
  <c r="M2" i="2"/>
  <c r="M52" i="2"/>
  <c r="N52" i="2"/>
  <c r="O52" i="2" s="1"/>
  <c r="M22" i="2"/>
  <c r="N22" i="2"/>
  <c r="O22" i="2" s="1"/>
  <c r="N47" i="2"/>
  <c r="O47" i="2" s="1"/>
  <c r="M47" i="2"/>
  <c r="N42" i="2"/>
  <c r="O42" i="2" s="1"/>
  <c r="M42" i="2"/>
  <c r="M32" i="2"/>
  <c r="N32" i="2"/>
  <c r="O32" i="2" s="1"/>
  <c r="K2" i="2"/>
  <c r="L2" i="2" s="1"/>
  <c r="J2" i="2"/>
  <c r="K27" i="2"/>
  <c r="L27" i="2" s="1"/>
  <c r="J27" i="2"/>
  <c r="K42" i="2"/>
  <c r="L42" i="2" s="1"/>
  <c r="J42" i="2"/>
  <c r="K32" i="2"/>
  <c r="L32" i="2" s="1"/>
  <c r="J32" i="2"/>
  <c r="K12" i="2"/>
  <c r="L12" i="2" s="1"/>
  <c r="J12" i="2"/>
  <c r="K22" i="2"/>
  <c r="L22" i="2" s="1"/>
  <c r="J22" i="2"/>
  <c r="K7" i="2"/>
  <c r="L7" i="2" s="1"/>
  <c r="J7" i="2"/>
  <c r="J57" i="2"/>
  <c r="K57" i="2"/>
  <c r="L57" i="2" s="1"/>
  <c r="K17" i="2"/>
  <c r="L17" i="2" s="1"/>
  <c r="J17" i="2"/>
  <c r="K37" i="2"/>
  <c r="L37" i="2" s="1"/>
  <c r="J37" i="2"/>
  <c r="K52" i="2"/>
  <c r="L52" i="2" s="1"/>
  <c r="J52" i="2"/>
  <c r="K47" i="2"/>
  <c r="L47" i="2" s="1"/>
  <c r="J47" i="2"/>
</calcChain>
</file>

<file path=xl/sharedStrings.xml><?xml version="1.0" encoding="utf-8"?>
<sst xmlns="http://schemas.openxmlformats.org/spreadsheetml/2006/main" count="322" uniqueCount="51">
  <si>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</si>
  <si>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</si>
  <si>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</si>
  <si>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</si>
  <si>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</si>
  <si>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</si>
  <si>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</si>
  <si>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</si>
  <si>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</si>
  <si>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</si>
  <si>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</si>
  <si>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</si>
  <si>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</si>
  <si>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</si>
  <si>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</si>
  <si>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</si>
  <si>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</si>
  <si>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</si>
  <si>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</si>
  <si>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</si>
  <si>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</si>
  <si>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</si>
  <si>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</si>
  <si>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</si>
  <si>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</si>
  <si>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</si>
  <si>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</si>
  <si>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</si>
  <si>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</si>
  <si>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</si>
  <si>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</si>
  <si>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</si>
  <si>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</si>
  <si>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</si>
  <si>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</si>
  <si>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</si>
  <si>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</si>
  <si>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</si>
  <si>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</si>
  <si>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</si>
  <si>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</si>
  <si>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</si>
  <si>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</si>
  <si>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</si>
  <si>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</si>
  <si>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</si>
  <si>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</si>
  <si>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AES</t>
  </si>
  <si>
    <t>Notes</t>
  </si>
  <si>
    <t>H2O in well</t>
  </si>
  <si>
    <t xml:space="preserve">actually read as zero/not "no data"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</si>
</sst>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Fill="1" applyBorder="1"/>
    <xf numFmtId="0" fontId="1" fillId="0" borderId="0" xfId="0" applyFont="1"/>
    <xf numFmtId="0" fontId="2" fillId="0" borderId="0" xfId="0" applyFont="1"/>
    <xf numFmtId="14" fontId="2" fillId="0" borderId="0" xfId="0" applyNumberFormat="1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Fill="1" applyBorder="1"/>
    <xf numFmtId="14" fontId="1" fillId="0" borderId="4" xfId="0" applyNumberFormat="1" applyFont="1" applyFill="1" applyBorder="1"/>
    <xf numFmtId="14" fontId="4" fillId="0" borderId="4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4" fontId="1" fillId="0" borderId="6" xfId="0" applyNumberFormat="1" applyFont="1" applyFill="1" applyBorder="1"/>
    <xf numFmtId="0" fontId="1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14" fontId="4" fillId="0" borderId="6" xfId="0" applyNumberFormat="1" applyFont="1" applyFill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14" fontId="1" fillId="0" borderId="20" xfId="0" applyNumberFormat="1" applyFont="1" applyFill="1" applyBorder="1"/>
    <xf numFmtId="0" fontId="1" fillId="0" borderId="2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4" fontId="4" fillId="0" borderId="20" xfId="0" applyNumberFormat="1" applyFont="1" applyFill="1" applyBorder="1"/>
    <xf numFmtId="0" fontId="4" fillId="0" borderId="2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Fill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3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14" fontId="1" fillId="0" borderId="8" xfId="0" applyNumberFormat="1" applyFont="1" applyFill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Fill="1" applyBorder="1"/>
    <xf numFmtId="14" fontId="1" fillId="2" borderId="10" xfId="0" applyNumberFormat="1" applyFont="1" applyFill="1" applyBorder="1"/>
    <xf numFmtId="0" fontId="1" fillId="0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4" xfId="0" applyFont="1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4" fillId="0" borderId="19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Fill="1" applyBorder="1"/>
    <xf numFmtId="0" fontId="1" fillId="0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3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0" borderId="31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65472784672903"/>
                  <c:y val="2.04939085532004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Samples'!$Q$8:$Q$22</c:f>
              <c:numCache>
                <c:formatCode>General</c:formatCode>
                <c:ptCount val="15"/>
                <c:pt idx="0">
                  <c:v>4107.666666666667</c:v>
                </c:pt>
                <c:pt idx="3">
                  <c:v>3090.3333333333335</c:v>
                </c:pt>
                <c:pt idx="6">
                  <c:v>2090.3333333333335</c:v>
                </c:pt>
                <c:pt idx="9">
                  <c:v>1301.3333333333333</c:v>
                </c:pt>
                <c:pt idx="12">
                  <c:v>646.33333333333337</c:v>
                </c:pt>
              </c:numCache>
            </c:numRef>
          </c:xVal>
          <c:yVal>
            <c:numRef>
              <c:f>'STDs and Samples'!$P$8:$P$22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Samples'!$Q$26:$Q$43</c:f>
              <c:numCache>
                <c:formatCode>General</c:formatCode>
                <c:ptCount val="18"/>
                <c:pt idx="0">
                  <c:v>239612.66666666666</c:v>
                </c:pt>
                <c:pt idx="3">
                  <c:v>174796.66666666666</c:v>
                </c:pt>
                <c:pt idx="6">
                  <c:v>126917.66666666667</c:v>
                </c:pt>
                <c:pt idx="9">
                  <c:v>84150.666666666672</c:v>
                </c:pt>
                <c:pt idx="12">
                  <c:v>45986</c:v>
                </c:pt>
                <c:pt idx="15">
                  <c:v>320172</c:v>
                </c:pt>
                <c:pt idx="16">
                  <c:v>617286</c:v>
                </c:pt>
                <c:pt idx="17">
                  <c:v>1222475</c:v>
                </c:pt>
              </c:numCache>
            </c:numRef>
          </c:xVal>
          <c:yVal>
            <c:numRef>
              <c:f>'STDs and Samples'!$P$26:$P$43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0.10965809966329064</c:v>
                  </c:pt>
                  <c:pt idx="1">
                    <c:v>0.10712824539900859</c:v>
                  </c:pt>
                  <c:pt idx="2">
                    <c:v>0.20534739031884039</c:v>
                  </c:pt>
                  <c:pt idx="3">
                    <c:v>0.12555100809827899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0.10965809966329064</c:v>
                  </c:pt>
                  <c:pt idx="1">
                    <c:v>0.10712824539900859</c:v>
                  </c:pt>
                  <c:pt idx="2">
                    <c:v>0.20534739031884039</c:v>
                  </c:pt>
                  <c:pt idx="3">
                    <c:v>0.12555100809827899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0.56157277644461134</c:v>
                </c:pt>
                <c:pt idx="1">
                  <c:v>4.7904149615245271E-2</c:v>
                </c:pt>
                <c:pt idx="2">
                  <c:v>0.23961984183344959</c:v>
                </c:pt>
                <c:pt idx="3">
                  <c:v>0.18906190612189783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4.3842797096979129E-2</c:v>
                  </c:pt>
                  <c:pt idx="1">
                    <c:v>5.9014258039742445E-2</c:v>
                  </c:pt>
                  <c:pt idx="2">
                    <c:v>0.11615815287155137</c:v>
                  </c:pt>
                  <c:pt idx="3">
                    <c:v>0.10353870242319045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4.3842797096979129E-2</c:v>
                  </c:pt>
                  <c:pt idx="1">
                    <c:v>5.9014258039742445E-2</c:v>
                  </c:pt>
                  <c:pt idx="2">
                    <c:v>0.11615815287155137</c:v>
                  </c:pt>
                  <c:pt idx="3">
                    <c:v>0.10353870242319045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4.1568339967666026E-2</c:v>
                  </c:pt>
                  <c:pt idx="1">
                    <c:v>7.558599076542144E-2</c:v>
                  </c:pt>
                  <c:pt idx="2">
                    <c:v>0.14882057940021276</c:v>
                  </c:pt>
                  <c:pt idx="3">
                    <c:v>0.19550277179218215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4.1568339967666026E-2</c:v>
                  </c:pt>
                  <c:pt idx="1">
                    <c:v>7.558599076542144E-2</c:v>
                  </c:pt>
                  <c:pt idx="2">
                    <c:v>0.14882057940021276</c:v>
                  </c:pt>
                  <c:pt idx="3">
                    <c:v>0.19550277179218215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0.37511510954040833</c:v>
                </c:pt>
                <c:pt idx="1">
                  <c:v>2.8085438816317022E-2</c:v>
                </c:pt>
                <c:pt idx="2">
                  <c:v>5.5184492357708767E-2</c:v>
                </c:pt>
                <c:pt idx="3">
                  <c:v>1.8782778645391508E-2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4.1568339967666026E-2</c:v>
                  </c:pt>
                  <c:pt idx="1">
                    <c:v>7.558599076542144E-2</c:v>
                  </c:pt>
                  <c:pt idx="2">
                    <c:v>0.14882057940021276</c:v>
                  </c:pt>
                  <c:pt idx="3">
                    <c:v>0.19550277179218215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4.1568339967666026E-2</c:v>
                  </c:pt>
                  <c:pt idx="1">
                    <c:v>7.558599076542144E-2</c:v>
                  </c:pt>
                  <c:pt idx="2">
                    <c:v>0.14882057940021276</c:v>
                  </c:pt>
                  <c:pt idx="3">
                    <c:v>0.19550277179218215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4.3842797096979129E-2</c:v>
                  </c:pt>
                  <c:pt idx="1">
                    <c:v>5.9014258039742445E-2</c:v>
                  </c:pt>
                  <c:pt idx="2">
                    <c:v>0.11615815287155137</c:v>
                  </c:pt>
                  <c:pt idx="3">
                    <c:v>0.10353870242319045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4.3842797096979129E-2</c:v>
                  </c:pt>
                  <c:pt idx="1">
                    <c:v>5.9014258039742445E-2</c:v>
                  </c:pt>
                  <c:pt idx="2">
                    <c:v>0.11615815287155137</c:v>
                  </c:pt>
                  <c:pt idx="3">
                    <c:v>0.10353870242319045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0.30231168211577375</c:v>
                </c:pt>
                <c:pt idx="1">
                  <c:v>-0.42086903030226264</c:v>
                </c:pt>
                <c:pt idx="2">
                  <c:v>-3.0561766609083073E-2</c:v>
                </c:pt>
                <c:pt idx="3">
                  <c:v>-0.44190113155826816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0.27399923811730487</c:v>
                </c:pt>
                <c:pt idx="1">
                  <c:v>-0.20124535757128181</c:v>
                </c:pt>
                <c:pt idx="2">
                  <c:v>-0.18708913557204732</c:v>
                </c:pt>
                <c:pt idx="3">
                  <c:v>-0.19517840528589558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0.50252110753351875</c:v>
                </c:pt>
                <c:pt idx="1">
                  <c:v>0.13041470069649774</c:v>
                </c:pt>
                <c:pt idx="2">
                  <c:v>0.42162841039503585</c:v>
                </c:pt>
                <c:pt idx="3">
                  <c:v>0.39736060125349115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0.9332747197959399</c:v>
                </c:pt>
                <c:pt idx="1">
                  <c:v>0.28208850783115302</c:v>
                </c:pt>
                <c:pt idx="2">
                  <c:v>0.70677516780818794</c:v>
                </c:pt>
                <c:pt idx="3">
                  <c:v>0.39938291868195308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0.46005244153581537</c:v>
                </c:pt>
                <c:pt idx="1">
                  <c:v>0.24164215926191157</c:v>
                </c:pt>
                <c:pt idx="2">
                  <c:v>0.56723526524430512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0.6380163752404775</c:v>
                </c:pt>
                <c:pt idx="1">
                  <c:v>-0.21337926214205416</c:v>
                </c:pt>
                <c:pt idx="2">
                  <c:v>-0.3104504987082336</c:v>
                </c:pt>
                <c:pt idx="3">
                  <c:v>0.15468250983804266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0.33466876097116693</c:v>
                </c:pt>
                <c:pt idx="1">
                  <c:v>-9.6084851291254103E-2</c:v>
                </c:pt>
                <c:pt idx="2">
                  <c:v>0.1708610492657392</c:v>
                </c:pt>
                <c:pt idx="3">
                  <c:v>-2.5303741295081617E-2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0.23355288954806341</c:v>
                </c:pt>
                <c:pt idx="1">
                  <c:v>-8.3950946720481645E-2</c:v>
                </c:pt>
                <c:pt idx="2">
                  <c:v>-0.36909770413363363</c:v>
                </c:pt>
                <c:pt idx="3">
                  <c:v>-0.31449513356515768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0.47623098096351191</c:v>
                </c:pt>
                <c:pt idx="1">
                  <c:v>-1.7214471581233459E-2</c:v>
                </c:pt>
                <c:pt idx="2">
                  <c:v>4.952200355801506E-2</c:v>
                </c:pt>
                <c:pt idx="3">
                  <c:v>0.11221384384033906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0.45600780667889107</c:v>
                </c:pt>
                <c:pt idx="1">
                  <c:v>0.1708610492657392</c:v>
                </c:pt>
                <c:pt idx="2">
                  <c:v>9.6035304412642519E-2</c:v>
                </c:pt>
                <c:pt idx="3">
                  <c:v>0.32253485640039448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0.37511510954040839</c:v>
                </c:pt>
                <c:pt idx="1">
                  <c:v>0.16681641440881512</c:v>
                </c:pt>
                <c:pt idx="2">
                  <c:v>0.32860180868578071</c:v>
                </c:pt>
                <c:pt idx="3">
                  <c:v>-1.0359321535367005E-3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0.43982926725119453</c:v>
                </c:pt>
                <c:pt idx="1">
                  <c:v>-0.48639211498443369</c:v>
                </c:pt>
                <c:pt idx="2">
                  <c:v>-0.3387629427067026</c:v>
                </c:pt>
                <c:pt idx="3">
                  <c:v>-1.0445517252399652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0.24973142897575995</c:v>
                </c:pt>
                <c:pt idx="1">
                  <c:v>-0.13855351728895759</c:v>
                </c:pt>
                <c:pt idx="2">
                  <c:v>0.1809726364080495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0.32455717382885663</c:v>
                </c:pt>
                <c:pt idx="1">
                  <c:v>-0.44999040127211642</c:v>
                </c:pt>
                <c:pt idx="2">
                  <c:v>0.37107047468348409</c:v>
                </c:pt>
                <c:pt idx="3">
                  <c:v>-1.3169836724309159E-2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0.30635631697269794</c:v>
                </c:pt>
                <c:pt idx="1">
                  <c:v>-0.43785649670134408</c:v>
                </c:pt>
                <c:pt idx="2">
                  <c:v>-0.40145478298902681</c:v>
                </c:pt>
                <c:pt idx="3">
                  <c:v>-0.4297672269874957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0.19108422355035981</c:v>
                </c:pt>
                <c:pt idx="1">
                  <c:v>-0.5915526212644614</c:v>
                </c:pt>
                <c:pt idx="2">
                  <c:v>3.5365781558780451E-2</c:v>
                </c:pt>
                <c:pt idx="3">
                  <c:v>-0.28011573728130257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0.27399923811730487</c:v>
                </c:pt>
                <c:pt idx="1">
                  <c:v>0.50252110753351875</c:v>
                </c:pt>
                <c:pt idx="2">
                  <c:v>0.9332747197959399</c:v>
                </c:pt>
                <c:pt idx="3">
                  <c:v>0.46005244153581537</c:v>
                </c:pt>
                <c:pt idx="4">
                  <c:v>0.6380163752404775</c:v>
                </c:pt>
                <c:pt idx="5">
                  <c:v>0.33466876097116693</c:v>
                </c:pt>
                <c:pt idx="6">
                  <c:v>0.23355288954806341</c:v>
                </c:pt>
                <c:pt idx="7">
                  <c:v>0.47623098096351191</c:v>
                </c:pt>
                <c:pt idx="8">
                  <c:v>0.45600780667889107</c:v>
                </c:pt>
                <c:pt idx="9">
                  <c:v>0.37511510954040839</c:v>
                </c:pt>
                <c:pt idx="10">
                  <c:v>0.43982926725119453</c:v>
                </c:pt>
                <c:pt idx="11">
                  <c:v>0.24973142897575995</c:v>
                </c:pt>
                <c:pt idx="12">
                  <c:v>0.32455717382885663</c:v>
                </c:pt>
                <c:pt idx="13">
                  <c:v>0.30635631697269794</c:v>
                </c:pt>
                <c:pt idx="14">
                  <c:v>0.19108422355035981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-0.20124535757128181</c:v>
                </c:pt>
                <c:pt idx="1">
                  <c:v>0.13041470069649774</c:v>
                </c:pt>
                <c:pt idx="2">
                  <c:v>0.28208850783115302</c:v>
                </c:pt>
                <c:pt idx="3">
                  <c:v>0.24164215926191157</c:v>
                </c:pt>
                <c:pt idx="4">
                  <c:v>-0.21337926214205416</c:v>
                </c:pt>
                <c:pt idx="5">
                  <c:v>-9.6084851291254103E-2</c:v>
                </c:pt>
                <c:pt idx="6">
                  <c:v>-8.3950946720481645E-2</c:v>
                </c:pt>
                <c:pt idx="7">
                  <c:v>-1.7214471581233459E-2</c:v>
                </c:pt>
                <c:pt idx="8">
                  <c:v>0.1708610492657392</c:v>
                </c:pt>
                <c:pt idx="9">
                  <c:v>0.16681641440881512</c:v>
                </c:pt>
                <c:pt idx="10">
                  <c:v>-0.48639211498443369</c:v>
                </c:pt>
                <c:pt idx="11">
                  <c:v>-0.13855351728895759</c:v>
                </c:pt>
                <c:pt idx="12">
                  <c:v>-0.44999040127211642</c:v>
                </c:pt>
                <c:pt idx="13">
                  <c:v>-0.43785649670134408</c:v>
                </c:pt>
                <c:pt idx="14">
                  <c:v>-0.5915526212644614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-0.18708913557204732</c:v>
                </c:pt>
                <c:pt idx="1">
                  <c:v>0.42162841039503585</c:v>
                </c:pt>
                <c:pt idx="2">
                  <c:v>0.70677516780818794</c:v>
                </c:pt>
                <c:pt idx="3">
                  <c:v>0.56723526524430512</c:v>
                </c:pt>
                <c:pt idx="4">
                  <c:v>-0.3104504987082336</c:v>
                </c:pt>
                <c:pt idx="5">
                  <c:v>0.1708610492657392</c:v>
                </c:pt>
                <c:pt idx="6">
                  <c:v>-0.36909770413363363</c:v>
                </c:pt>
                <c:pt idx="7">
                  <c:v>4.952200355801506E-2</c:v>
                </c:pt>
                <c:pt idx="8">
                  <c:v>9.6035304412642519E-2</c:v>
                </c:pt>
                <c:pt idx="9">
                  <c:v>0.32860180868578071</c:v>
                </c:pt>
                <c:pt idx="10">
                  <c:v>-0.3387629427067026</c:v>
                </c:pt>
                <c:pt idx="11">
                  <c:v>0.1809726364080495</c:v>
                </c:pt>
                <c:pt idx="12">
                  <c:v>0.37107047468348409</c:v>
                </c:pt>
                <c:pt idx="13">
                  <c:v>-0.40145478298902681</c:v>
                </c:pt>
                <c:pt idx="14">
                  <c:v>3.5365781558780451E-2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0.27399923811730487</c:v>
                </c:pt>
                <c:pt idx="1">
                  <c:v>0.50252110753351875</c:v>
                </c:pt>
                <c:pt idx="2">
                  <c:v>0.9332747197959399</c:v>
                </c:pt>
                <c:pt idx="3">
                  <c:v>0.46005244153581537</c:v>
                </c:pt>
                <c:pt idx="4">
                  <c:v>0.6380163752404775</c:v>
                </c:pt>
                <c:pt idx="5">
                  <c:v>0.33466876097116693</c:v>
                </c:pt>
                <c:pt idx="6">
                  <c:v>0.23355288954806341</c:v>
                </c:pt>
                <c:pt idx="7">
                  <c:v>0.47623098096351191</c:v>
                </c:pt>
                <c:pt idx="8">
                  <c:v>0.45600780667889107</c:v>
                </c:pt>
                <c:pt idx="9">
                  <c:v>0.37511510954040839</c:v>
                </c:pt>
                <c:pt idx="10">
                  <c:v>0.43982926725119453</c:v>
                </c:pt>
                <c:pt idx="11">
                  <c:v>0.24973142897575995</c:v>
                </c:pt>
                <c:pt idx="12">
                  <c:v>0.32455717382885663</c:v>
                </c:pt>
                <c:pt idx="13">
                  <c:v>0.30635631697269794</c:v>
                </c:pt>
                <c:pt idx="14">
                  <c:v>0.19108422355035981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-0.20124535757128181</c:v>
                </c:pt>
                <c:pt idx="1">
                  <c:v>0.13041470069649774</c:v>
                </c:pt>
                <c:pt idx="2">
                  <c:v>0.28208850783115302</c:v>
                </c:pt>
                <c:pt idx="3">
                  <c:v>0.24164215926191157</c:v>
                </c:pt>
                <c:pt idx="4">
                  <c:v>-0.21337926214205416</c:v>
                </c:pt>
                <c:pt idx="5">
                  <c:v>-9.6084851291254103E-2</c:v>
                </c:pt>
                <c:pt idx="6">
                  <c:v>-8.3950946720481645E-2</c:v>
                </c:pt>
                <c:pt idx="7">
                  <c:v>-1.7214471581233459E-2</c:v>
                </c:pt>
                <c:pt idx="8">
                  <c:v>0.1708610492657392</c:v>
                </c:pt>
                <c:pt idx="9">
                  <c:v>0.16681641440881512</c:v>
                </c:pt>
                <c:pt idx="10">
                  <c:v>-0.48639211498443369</c:v>
                </c:pt>
                <c:pt idx="11">
                  <c:v>-0.13855351728895759</c:v>
                </c:pt>
                <c:pt idx="12">
                  <c:v>-0.44999040127211642</c:v>
                </c:pt>
                <c:pt idx="13">
                  <c:v>-0.43785649670134408</c:v>
                </c:pt>
                <c:pt idx="14">
                  <c:v>-0.5915526212644614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-0.18708913557204732</c:v>
                </c:pt>
                <c:pt idx="1">
                  <c:v>0.42162841039503585</c:v>
                </c:pt>
                <c:pt idx="2">
                  <c:v>0.70677516780818794</c:v>
                </c:pt>
                <c:pt idx="3">
                  <c:v>0.56723526524430512</c:v>
                </c:pt>
                <c:pt idx="4">
                  <c:v>-0.3104504987082336</c:v>
                </c:pt>
                <c:pt idx="5">
                  <c:v>0.1708610492657392</c:v>
                </c:pt>
                <c:pt idx="6">
                  <c:v>-0.36909770413363363</c:v>
                </c:pt>
                <c:pt idx="7">
                  <c:v>4.952200355801506E-2</c:v>
                </c:pt>
                <c:pt idx="8">
                  <c:v>9.6035304412642519E-2</c:v>
                </c:pt>
                <c:pt idx="9">
                  <c:v>0.32860180868578071</c:v>
                </c:pt>
                <c:pt idx="10">
                  <c:v>-0.3387629427067026</c:v>
                </c:pt>
                <c:pt idx="11">
                  <c:v>0.1809726364080495</c:v>
                </c:pt>
                <c:pt idx="12">
                  <c:v>0.37107047468348409</c:v>
                </c:pt>
                <c:pt idx="13">
                  <c:v>-0.40145478298902681</c:v>
                </c:pt>
                <c:pt idx="14">
                  <c:v>3.5365781558780451E-2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0.27399923811730487</c:v>
                </c:pt>
                <c:pt idx="1">
                  <c:v>0.50252110753351875</c:v>
                </c:pt>
                <c:pt idx="2">
                  <c:v>0.9332747197959399</c:v>
                </c:pt>
                <c:pt idx="3">
                  <c:v>0.46005244153581537</c:v>
                </c:pt>
                <c:pt idx="4">
                  <c:v>0.6380163752404775</c:v>
                </c:pt>
                <c:pt idx="5">
                  <c:v>0.33466876097116693</c:v>
                </c:pt>
                <c:pt idx="6">
                  <c:v>0.23355288954806341</c:v>
                </c:pt>
                <c:pt idx="7">
                  <c:v>0.47623098096351191</c:v>
                </c:pt>
                <c:pt idx="8">
                  <c:v>0.45600780667889107</c:v>
                </c:pt>
                <c:pt idx="9">
                  <c:v>0.37511510954040839</c:v>
                </c:pt>
                <c:pt idx="10">
                  <c:v>0.43982926725119453</c:v>
                </c:pt>
                <c:pt idx="11">
                  <c:v>0.24973142897575995</c:v>
                </c:pt>
                <c:pt idx="12">
                  <c:v>0.32455717382885663</c:v>
                </c:pt>
                <c:pt idx="13">
                  <c:v>0.30635631697269794</c:v>
                </c:pt>
                <c:pt idx="14">
                  <c:v>0.19108422355035981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-0.20124535757128181</c:v>
                </c:pt>
                <c:pt idx="1">
                  <c:v>0.13041470069649774</c:v>
                </c:pt>
                <c:pt idx="2">
                  <c:v>0.28208850783115302</c:v>
                </c:pt>
                <c:pt idx="3">
                  <c:v>0.24164215926191157</c:v>
                </c:pt>
                <c:pt idx="4">
                  <c:v>-0.21337926214205416</c:v>
                </c:pt>
                <c:pt idx="5">
                  <c:v>-9.6084851291254103E-2</c:v>
                </c:pt>
                <c:pt idx="6">
                  <c:v>-8.3950946720481645E-2</c:v>
                </c:pt>
                <c:pt idx="7">
                  <c:v>-1.7214471581233459E-2</c:v>
                </c:pt>
                <c:pt idx="8">
                  <c:v>0.1708610492657392</c:v>
                </c:pt>
                <c:pt idx="9">
                  <c:v>0.16681641440881512</c:v>
                </c:pt>
                <c:pt idx="10">
                  <c:v>-0.48639211498443369</c:v>
                </c:pt>
                <c:pt idx="11">
                  <c:v>-0.13855351728895759</c:v>
                </c:pt>
                <c:pt idx="12">
                  <c:v>-0.44999040127211642</c:v>
                </c:pt>
                <c:pt idx="13">
                  <c:v>-0.43785649670134408</c:v>
                </c:pt>
                <c:pt idx="14">
                  <c:v>-0.5915526212644614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-0.18708913557204732</c:v>
                </c:pt>
                <c:pt idx="1">
                  <c:v>0.42162841039503585</c:v>
                </c:pt>
                <c:pt idx="2">
                  <c:v>0.70677516780818794</c:v>
                </c:pt>
                <c:pt idx="3">
                  <c:v>0.56723526524430512</c:v>
                </c:pt>
                <c:pt idx="4">
                  <c:v>-0.3104504987082336</c:v>
                </c:pt>
                <c:pt idx="5">
                  <c:v>0.1708610492657392</c:v>
                </c:pt>
                <c:pt idx="6">
                  <c:v>-0.36909770413363363</c:v>
                </c:pt>
                <c:pt idx="7">
                  <c:v>4.952200355801506E-2</c:v>
                </c:pt>
                <c:pt idx="8">
                  <c:v>9.6035304412642519E-2</c:v>
                </c:pt>
                <c:pt idx="9">
                  <c:v>0.32860180868578071</c:v>
                </c:pt>
                <c:pt idx="10">
                  <c:v>-0.3387629427067026</c:v>
                </c:pt>
                <c:pt idx="11">
                  <c:v>0.1809726364080495</c:v>
                </c:pt>
                <c:pt idx="12">
                  <c:v>0.37107047468348409</c:v>
                </c:pt>
                <c:pt idx="13">
                  <c:v>-0.40145478298902681</c:v>
                </c:pt>
                <c:pt idx="14">
                  <c:v>3.5365781558780451E-2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594.46425457757994</c:v>
                  </c:pt>
                  <c:pt idx="1">
                    <c:v>885.09228614748463</c:v>
                  </c:pt>
                  <c:pt idx="2">
                    <c:v>2071.6701483812121</c:v>
                  </c:pt>
                  <c:pt idx="3">
                    <c:v>157.32976807343934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594.46425457757994</c:v>
                  </c:pt>
                  <c:pt idx="1">
                    <c:v>885.09228614748463</c:v>
                  </c:pt>
                  <c:pt idx="2">
                    <c:v>2071.6701483812121</c:v>
                  </c:pt>
                  <c:pt idx="3">
                    <c:v>157.32976807343934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3126.1783882850132</c:v>
                </c:pt>
                <c:pt idx="1">
                  <c:v>8481.6985262851031</c:v>
                </c:pt>
                <c:pt idx="2">
                  <c:v>8143.2356930080659</c:v>
                </c:pt>
                <c:pt idx="3">
                  <c:v>8543.0534095059338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690.79970792304164</c:v>
                  </c:pt>
                  <c:pt idx="1">
                    <c:v>1242.0916626063874</c:v>
                  </c:pt>
                  <c:pt idx="2">
                    <c:v>2069.2450926964152</c:v>
                  </c:pt>
                  <c:pt idx="3">
                    <c:v>1155.515450855874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690.79970792304164</c:v>
                  </c:pt>
                  <c:pt idx="1">
                    <c:v>1242.0916626063874</c:v>
                  </c:pt>
                  <c:pt idx="2">
                    <c:v>2069.2450926964152</c:v>
                  </c:pt>
                  <c:pt idx="3">
                    <c:v>1155.515450855874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5915.0395317756356</c:v>
                </c:pt>
                <c:pt idx="1">
                  <c:v>10749.564671809214</c:v>
                </c:pt>
                <c:pt idx="2">
                  <c:v>10669.849646561115</c:v>
                </c:pt>
                <c:pt idx="3">
                  <c:v>13941.150651060296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1636.1036593797694</c:v>
                  </c:pt>
                  <c:pt idx="1">
                    <c:v>1951.4424231703056</c:v>
                  </c:pt>
                  <c:pt idx="2">
                    <c:v>5246.2666897822292</c:v>
                  </c:pt>
                  <c:pt idx="3">
                    <c:v>5799.0854103504926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1636.1036593797694</c:v>
                  </c:pt>
                  <c:pt idx="1">
                    <c:v>1951.4424231703056</c:v>
                  </c:pt>
                  <c:pt idx="2">
                    <c:v>5246.2666897822292</c:v>
                  </c:pt>
                  <c:pt idx="3">
                    <c:v>5799.0854103504926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7178.0652160536047</c:v>
                </c:pt>
                <c:pt idx="1">
                  <c:v>19212.484331373478</c:v>
                </c:pt>
                <c:pt idx="2">
                  <c:v>14859.012374954968</c:v>
                </c:pt>
                <c:pt idx="3">
                  <c:v>20180.932683146733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4547.9235799282706</c:v>
                </c:pt>
                <c:pt idx="1">
                  <c:v>5913.7233925622113</c:v>
                </c:pt>
                <c:pt idx="2">
                  <c:v>7894.6333398046972</c:v>
                </c:pt>
                <c:pt idx="3">
                  <c:v>8554.4750032355023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3507.4424128712872</c:v>
                </c:pt>
                <c:pt idx="1">
                  <c:v>10879.766109106895</c:v>
                </c:pt>
                <c:pt idx="2">
                  <c:v>14526.676040683165</c:v>
                </c:pt>
                <c:pt idx="3">
                  <c:v>8092.1832550745385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2842.6372701846285</c:v>
                </c:pt>
                <c:pt idx="1">
                  <c:v>10020.903551285362</c:v>
                </c:pt>
                <c:pt idx="2">
                  <c:v>2541.3704235667155</c:v>
                </c:pt>
                <c:pt idx="3">
                  <c:v>5235.4127690580626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3720.3730922823206</c:v>
                </c:pt>
                <c:pt idx="1">
                  <c:v>7707.8792069717674</c:v>
                </c:pt>
                <c:pt idx="2">
                  <c:v>5278.3550367274311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1012.5155861585599</c:v>
                </c:pt>
                <c:pt idx="1">
                  <c:v>7886.2203714992811</c:v>
                </c:pt>
                <c:pt idx="2">
                  <c:v>10475.14362425832</c:v>
                </c:pt>
                <c:pt idx="3">
                  <c:v>8573.9418204902668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5580.9724314270934</c:v>
                </c:pt>
                <c:pt idx="1">
                  <c:v>10793.201998618742</c:v>
                </c:pt>
                <c:pt idx="2">
                  <c:v>9137.8515590314873</c:v>
                </c:pt>
                <c:pt idx="3">
                  <c:v>14450.056093140885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7559.9468798263088</c:v>
                </c:pt>
                <c:pt idx="1">
                  <c:v>13084.041225079915</c:v>
                </c:pt>
                <c:pt idx="2">
                  <c:v>17828.972553769338</c:v>
                </c:pt>
                <c:pt idx="3">
                  <c:v>17118.308991822785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5235.4127690580626</c:v>
                </c:pt>
                <c:pt idx="1">
                  <c:v>10047.501606500444</c:v>
                </c:pt>
                <c:pt idx="2">
                  <c:v>7998.4620999748258</c:v>
                </c:pt>
                <c:pt idx="3">
                  <c:v>12660.502464869773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7340.934432938865</c:v>
                </c:pt>
                <c:pt idx="1">
                  <c:v>13339.853956640747</c:v>
                </c:pt>
                <c:pt idx="2">
                  <c:v>12395.958482971519</c:v>
                </c:pt>
                <c:pt idx="3">
                  <c:v>10307.606844384798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3857.9311456278474</c:v>
                </c:pt>
                <c:pt idx="1">
                  <c:v>6483.2245722062153</c:v>
                </c:pt>
                <c:pt idx="2">
                  <c:v>5988.0035370584046</c:v>
                </c:pt>
                <c:pt idx="3">
                  <c:v>15169.278861083238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3219.9907268857874</c:v>
                </c:pt>
                <c:pt idx="1">
                  <c:v>21062.881441059944</c:v>
                </c:pt>
                <c:pt idx="2">
                  <c:v>14540.327759191036</c:v>
                </c:pt>
                <c:pt idx="3">
                  <c:v>29640.100479425579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11278.220804308245</c:v>
                </c:pt>
                <c:pt idx="1">
                  <c:v>18278.945927070017</c:v>
                </c:pt>
                <c:pt idx="2">
                  <c:v>14413.814952577774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7443.2492029027007</c:v>
                </c:pt>
                <c:pt idx="1">
                  <c:v>23571.201919768104</c:v>
                </c:pt>
                <c:pt idx="2">
                  <c:v>10829.899056687156</c:v>
                </c:pt>
                <c:pt idx="3">
                  <c:v>23101.624093739363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3741.3366953092136</c:v>
                </c:pt>
                <c:pt idx="1">
                  <c:v>12161.487851989152</c:v>
                </c:pt>
                <c:pt idx="2">
                  <c:v>1093.1097579923567</c:v>
                </c:pt>
                <c:pt idx="3">
                  <c:v>1149.5833131304585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10207.528650862076</c:v>
                </c:pt>
                <c:pt idx="1">
                  <c:v>20987.904516980172</c:v>
                </c:pt>
                <c:pt idx="2">
                  <c:v>33417.910348326521</c:v>
                </c:pt>
                <c:pt idx="3">
                  <c:v>26832.422846291531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4547.9235799282706</c:v>
                </c:pt>
                <c:pt idx="1">
                  <c:v>3507.4424128712872</c:v>
                </c:pt>
                <c:pt idx="2">
                  <c:v>2842.6372701846285</c:v>
                </c:pt>
                <c:pt idx="3">
                  <c:v>3720.3730922823206</c:v>
                </c:pt>
                <c:pt idx="4">
                  <c:v>1012.5155861585599</c:v>
                </c:pt>
                <c:pt idx="5">
                  <c:v>5580.9724314270934</c:v>
                </c:pt>
                <c:pt idx="6">
                  <c:v>7559.9468798263088</c:v>
                </c:pt>
                <c:pt idx="7">
                  <c:v>5235.4127690580626</c:v>
                </c:pt>
                <c:pt idx="8">
                  <c:v>7340.934432938865</c:v>
                </c:pt>
                <c:pt idx="9">
                  <c:v>3857.9311456278474</c:v>
                </c:pt>
                <c:pt idx="10">
                  <c:v>3219.9907268857874</c:v>
                </c:pt>
                <c:pt idx="11">
                  <c:v>11278.220804308245</c:v>
                </c:pt>
                <c:pt idx="12">
                  <c:v>7443.2492029027007</c:v>
                </c:pt>
                <c:pt idx="13">
                  <c:v>3741.3366953092136</c:v>
                </c:pt>
                <c:pt idx="14">
                  <c:v>10207.528650862076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5913.7233925622113</c:v>
                </c:pt>
                <c:pt idx="1">
                  <c:v>10879.766109106895</c:v>
                </c:pt>
                <c:pt idx="2">
                  <c:v>10020.903551285362</c:v>
                </c:pt>
                <c:pt idx="3">
                  <c:v>7707.8792069717674</c:v>
                </c:pt>
                <c:pt idx="4">
                  <c:v>7886.2203714992811</c:v>
                </c:pt>
                <c:pt idx="5">
                  <c:v>10793.201998618742</c:v>
                </c:pt>
                <c:pt idx="6">
                  <c:v>13084.041225079915</c:v>
                </c:pt>
                <c:pt idx="7">
                  <c:v>10047.501606500444</c:v>
                </c:pt>
                <c:pt idx="8">
                  <c:v>13339.853956640747</c:v>
                </c:pt>
                <c:pt idx="9">
                  <c:v>6483.2245722062153</c:v>
                </c:pt>
                <c:pt idx="10">
                  <c:v>21062.881441059944</c:v>
                </c:pt>
                <c:pt idx="11">
                  <c:v>18278.945927070017</c:v>
                </c:pt>
                <c:pt idx="12">
                  <c:v>23571.201919768104</c:v>
                </c:pt>
                <c:pt idx="13">
                  <c:v>12161.487851989152</c:v>
                </c:pt>
                <c:pt idx="14">
                  <c:v>20987.904516980172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7894.6333398046972</c:v>
                </c:pt>
                <c:pt idx="1">
                  <c:v>14526.676040683165</c:v>
                </c:pt>
                <c:pt idx="2">
                  <c:v>2541.3704235667155</c:v>
                </c:pt>
                <c:pt idx="3">
                  <c:v>5278.3550367274311</c:v>
                </c:pt>
                <c:pt idx="4">
                  <c:v>10475.14362425832</c:v>
                </c:pt>
                <c:pt idx="5">
                  <c:v>9137.8515590314873</c:v>
                </c:pt>
                <c:pt idx="6">
                  <c:v>17828.972553769338</c:v>
                </c:pt>
                <c:pt idx="7">
                  <c:v>7998.4620999748258</c:v>
                </c:pt>
                <c:pt idx="8">
                  <c:v>12395.958482971519</c:v>
                </c:pt>
                <c:pt idx="9">
                  <c:v>5988.0035370584046</c:v>
                </c:pt>
                <c:pt idx="10">
                  <c:v>14540.327759191036</c:v>
                </c:pt>
                <c:pt idx="11">
                  <c:v>14413.814952577774</c:v>
                </c:pt>
                <c:pt idx="12">
                  <c:v>10829.899056687156</c:v>
                </c:pt>
                <c:pt idx="13">
                  <c:v>1093.1097579923567</c:v>
                </c:pt>
                <c:pt idx="14">
                  <c:v>33417.910348326521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4547.9235799282706</c:v>
                </c:pt>
                <c:pt idx="1">
                  <c:v>3507.4424128712872</c:v>
                </c:pt>
                <c:pt idx="2">
                  <c:v>2842.6372701846285</c:v>
                </c:pt>
                <c:pt idx="3">
                  <c:v>3720.3730922823206</c:v>
                </c:pt>
                <c:pt idx="4">
                  <c:v>1012.5155861585599</c:v>
                </c:pt>
                <c:pt idx="5">
                  <c:v>5580.9724314270934</c:v>
                </c:pt>
                <c:pt idx="6">
                  <c:v>7559.9468798263088</c:v>
                </c:pt>
                <c:pt idx="7">
                  <c:v>5235.4127690580626</c:v>
                </c:pt>
                <c:pt idx="8">
                  <c:v>7340.934432938865</c:v>
                </c:pt>
                <c:pt idx="9">
                  <c:v>3857.9311456278474</c:v>
                </c:pt>
                <c:pt idx="10">
                  <c:v>3219.9907268857874</c:v>
                </c:pt>
                <c:pt idx="11">
                  <c:v>11278.220804308245</c:v>
                </c:pt>
                <c:pt idx="12">
                  <c:v>7443.2492029027007</c:v>
                </c:pt>
                <c:pt idx="13">
                  <c:v>3741.3366953092136</c:v>
                </c:pt>
                <c:pt idx="14">
                  <c:v>10207.528650862076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5913.7233925622113</c:v>
                </c:pt>
                <c:pt idx="1">
                  <c:v>10879.766109106895</c:v>
                </c:pt>
                <c:pt idx="2">
                  <c:v>10020.903551285362</c:v>
                </c:pt>
                <c:pt idx="3">
                  <c:v>7707.8792069717674</c:v>
                </c:pt>
                <c:pt idx="4">
                  <c:v>7886.2203714992811</c:v>
                </c:pt>
                <c:pt idx="5">
                  <c:v>10793.201998618742</c:v>
                </c:pt>
                <c:pt idx="6">
                  <c:v>13084.041225079915</c:v>
                </c:pt>
                <c:pt idx="7">
                  <c:v>10047.501606500444</c:v>
                </c:pt>
                <c:pt idx="8">
                  <c:v>13339.853956640747</c:v>
                </c:pt>
                <c:pt idx="9">
                  <c:v>6483.2245722062153</c:v>
                </c:pt>
                <c:pt idx="10">
                  <c:v>21062.881441059944</c:v>
                </c:pt>
                <c:pt idx="11">
                  <c:v>18278.945927070017</c:v>
                </c:pt>
                <c:pt idx="12">
                  <c:v>23571.201919768104</c:v>
                </c:pt>
                <c:pt idx="13">
                  <c:v>12161.487851989152</c:v>
                </c:pt>
                <c:pt idx="14">
                  <c:v>20987.904516980172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7894.6333398046972</c:v>
                </c:pt>
                <c:pt idx="1">
                  <c:v>14526.676040683165</c:v>
                </c:pt>
                <c:pt idx="2">
                  <c:v>2541.3704235667155</c:v>
                </c:pt>
                <c:pt idx="3">
                  <c:v>5278.3550367274311</c:v>
                </c:pt>
                <c:pt idx="4">
                  <c:v>10475.14362425832</c:v>
                </c:pt>
                <c:pt idx="5">
                  <c:v>9137.8515590314873</c:v>
                </c:pt>
                <c:pt idx="6">
                  <c:v>17828.972553769338</c:v>
                </c:pt>
                <c:pt idx="7">
                  <c:v>7998.4620999748258</c:v>
                </c:pt>
                <c:pt idx="8">
                  <c:v>12395.958482971519</c:v>
                </c:pt>
                <c:pt idx="9">
                  <c:v>5988.0035370584046</c:v>
                </c:pt>
                <c:pt idx="10">
                  <c:v>14540.327759191036</c:v>
                </c:pt>
                <c:pt idx="11">
                  <c:v>14413.814952577774</c:v>
                </c:pt>
                <c:pt idx="12">
                  <c:v>10829.899056687156</c:v>
                </c:pt>
                <c:pt idx="13">
                  <c:v>1093.1097579923567</c:v>
                </c:pt>
                <c:pt idx="14">
                  <c:v>33417.910348326521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4547.9235799282706</c:v>
                </c:pt>
                <c:pt idx="1">
                  <c:v>3507.4424128712872</c:v>
                </c:pt>
                <c:pt idx="2">
                  <c:v>2842.6372701846285</c:v>
                </c:pt>
                <c:pt idx="3">
                  <c:v>3720.3730922823206</c:v>
                </c:pt>
                <c:pt idx="4">
                  <c:v>1012.5155861585599</c:v>
                </c:pt>
                <c:pt idx="5">
                  <c:v>5580.9724314270934</c:v>
                </c:pt>
                <c:pt idx="6">
                  <c:v>7559.9468798263088</c:v>
                </c:pt>
                <c:pt idx="7">
                  <c:v>5235.4127690580626</c:v>
                </c:pt>
                <c:pt idx="8">
                  <c:v>7340.934432938865</c:v>
                </c:pt>
                <c:pt idx="9">
                  <c:v>3857.9311456278474</c:v>
                </c:pt>
                <c:pt idx="10">
                  <c:v>3219.9907268857874</c:v>
                </c:pt>
                <c:pt idx="11">
                  <c:v>11278.220804308245</c:v>
                </c:pt>
                <c:pt idx="12">
                  <c:v>7443.2492029027007</c:v>
                </c:pt>
                <c:pt idx="13">
                  <c:v>3741.3366953092136</c:v>
                </c:pt>
                <c:pt idx="14">
                  <c:v>10207.528650862076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5913.7233925622113</c:v>
                </c:pt>
                <c:pt idx="1">
                  <c:v>10879.766109106895</c:v>
                </c:pt>
                <c:pt idx="2">
                  <c:v>10020.903551285362</c:v>
                </c:pt>
                <c:pt idx="3">
                  <c:v>7707.8792069717674</c:v>
                </c:pt>
                <c:pt idx="4">
                  <c:v>7886.2203714992811</c:v>
                </c:pt>
                <c:pt idx="5">
                  <c:v>10793.201998618742</c:v>
                </c:pt>
                <c:pt idx="6">
                  <c:v>13084.041225079915</c:v>
                </c:pt>
                <c:pt idx="7">
                  <c:v>10047.501606500444</c:v>
                </c:pt>
                <c:pt idx="8">
                  <c:v>13339.853956640747</c:v>
                </c:pt>
                <c:pt idx="9">
                  <c:v>6483.2245722062153</c:v>
                </c:pt>
                <c:pt idx="10">
                  <c:v>21062.881441059944</c:v>
                </c:pt>
                <c:pt idx="11">
                  <c:v>18278.945927070017</c:v>
                </c:pt>
                <c:pt idx="12">
                  <c:v>23571.201919768104</c:v>
                </c:pt>
                <c:pt idx="13">
                  <c:v>12161.487851989152</c:v>
                </c:pt>
                <c:pt idx="14">
                  <c:v>20987.904516980172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7894.6333398046972</c:v>
                </c:pt>
                <c:pt idx="1">
                  <c:v>14526.676040683165</c:v>
                </c:pt>
                <c:pt idx="2">
                  <c:v>2541.3704235667155</c:v>
                </c:pt>
                <c:pt idx="3">
                  <c:v>5278.3550367274311</c:v>
                </c:pt>
                <c:pt idx="4">
                  <c:v>10475.14362425832</c:v>
                </c:pt>
                <c:pt idx="5">
                  <c:v>9137.8515590314873</c:v>
                </c:pt>
                <c:pt idx="6">
                  <c:v>17828.972553769338</c:v>
                </c:pt>
                <c:pt idx="7">
                  <c:v>7998.4620999748258</c:v>
                </c:pt>
                <c:pt idx="8">
                  <c:v>12395.958482971519</c:v>
                </c:pt>
                <c:pt idx="9">
                  <c:v>5988.0035370584046</c:v>
                </c:pt>
                <c:pt idx="10">
                  <c:v>14540.327759191036</c:v>
                </c:pt>
                <c:pt idx="11">
                  <c:v>14413.814952577774</c:v>
                </c:pt>
                <c:pt idx="12">
                  <c:v>10829.899056687156</c:v>
                </c:pt>
                <c:pt idx="13">
                  <c:v>1093.1097579923567</c:v>
                </c:pt>
                <c:pt idx="14">
                  <c:v>33417.910348326521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600075</xdr:colOff>
      <xdr:row>9</xdr:row>
      <xdr:rowOff>11642</xdr:rowOff>
    </xdr:from>
    <xdr:to>
      <xdr:col>25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24</xdr:row>
      <xdr:rowOff>21167</xdr:rowOff>
    </xdr:from>
    <xdr:to>
      <xdr:col>25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66"/>
  <sheetViews>
    <sheetView tabSelected="1" topLeftCell="A7" zoomScale="90" zoomScaleNormal="90" workbookViewId="0">
      <selection activeCell="K35" sqref="K35"/>
    </sheetView>
  </sheetViews>
  <sheetFormatPr defaultRowHeight="16.5" x14ac:dyDescent="0.3"/>
  <cols>
    <col min="1" max="1" width="13.85546875" style="2" customWidth="1"/>
    <col min="2" max="2" width="12.42578125" style="2" bestFit="1" customWidth="1"/>
    <col min="3" max="3" width="14.5703125" style="15" customWidth="1"/>
    <col min="4" max="4" width="11.42578125" style="15" customWidth="1"/>
    <col min="5" max="5" width="8.7109375" style="15"/>
    <col min="6" max="6" width="9.28515625" style="15" customWidth="1"/>
    <col min="7" max="7" width="10.5703125" style="15" customWidth="1"/>
    <col min="8" max="10" width="8.7109375" style="15"/>
    <col min="11" max="11" width="23.28515625" style="15" customWidth="1"/>
    <col min="13" max="13" width="9.5703125" customWidth="1"/>
    <col min="15" max="15" width="9.42578125" customWidth="1"/>
    <col min="17" max="17" width="13.5703125" customWidth="1"/>
    <col min="18" max="18" width="11.5703125" customWidth="1"/>
  </cols>
  <sheetData>
    <row r="2" spans="1:29" x14ac:dyDescent="0.3">
      <c r="A2" s="3" t="s">
        <v>10</v>
      </c>
      <c r="H2" s="71"/>
    </row>
    <row r="3" spans="1:29" x14ac:dyDescent="0.3">
      <c r="A3" s="3" t="s">
        <v>11</v>
      </c>
      <c r="H3" s="71"/>
    </row>
    <row r="4" spans="1:29" x14ac:dyDescent="0.3">
      <c r="A4" s="3" t="s">
        <v>47</v>
      </c>
      <c r="B4" s="4"/>
      <c r="H4" s="71"/>
      <c r="L4" s="1"/>
    </row>
    <row r="5" spans="1:29" ht="17.25" thickBot="1" x14ac:dyDescent="0.35">
      <c r="B5" s="4"/>
      <c r="H5" s="71"/>
      <c r="L5" s="1"/>
    </row>
    <row r="6" spans="1:29" ht="50.25" thickBot="1" x14ac:dyDescent="0.3">
      <c r="A6" s="21" t="s">
        <v>4</v>
      </c>
      <c r="B6" s="22" t="s">
        <v>3</v>
      </c>
      <c r="C6" s="22" t="s">
        <v>1</v>
      </c>
      <c r="D6" s="22" t="s">
        <v>5</v>
      </c>
      <c r="E6" s="22" t="s">
        <v>2</v>
      </c>
      <c r="F6" s="22" t="s">
        <v>35</v>
      </c>
      <c r="G6" s="23" t="s">
        <v>6</v>
      </c>
      <c r="H6" s="23" t="s">
        <v>7</v>
      </c>
      <c r="I6" s="23" t="s">
        <v>8</v>
      </c>
      <c r="J6" s="128" t="s">
        <v>9</v>
      </c>
      <c r="K6" s="139" t="s">
        <v>48</v>
      </c>
      <c r="M6" s="69" t="s">
        <v>12</v>
      </c>
    </row>
    <row r="7" spans="1:29" ht="17.25" thickBot="1" x14ac:dyDescent="0.35">
      <c r="A7" s="70">
        <v>44502</v>
      </c>
      <c r="B7" s="18">
        <v>44516</v>
      </c>
      <c r="C7" s="19" t="s">
        <v>18</v>
      </c>
      <c r="D7" s="19" t="s">
        <v>19</v>
      </c>
      <c r="E7" s="19">
        <v>10</v>
      </c>
      <c r="F7" s="19">
        <v>1</v>
      </c>
      <c r="G7" s="19">
        <v>652</v>
      </c>
      <c r="H7" s="19">
        <v>581700</v>
      </c>
      <c r="I7" s="19">
        <f>(G7*$AB$14)+$AB$15</f>
        <v>0.27399923811730487</v>
      </c>
      <c r="J7" s="129">
        <f t="shared" ref="J7:J38" si="0">(H7*$AB$29)+$AB$30</f>
        <v>4547.9235799282706</v>
      </c>
      <c r="K7" s="138"/>
      <c r="M7" s="117" t="s">
        <v>13</v>
      </c>
      <c r="N7" s="118" t="s">
        <v>14</v>
      </c>
      <c r="O7" s="118" t="s">
        <v>0</v>
      </c>
      <c r="P7" s="119" t="s">
        <v>26</v>
      </c>
      <c r="Q7" s="120" t="s">
        <v>27</v>
      </c>
    </row>
    <row r="8" spans="1:29" x14ac:dyDescent="0.3">
      <c r="A8" s="78">
        <v>44502</v>
      </c>
      <c r="B8" s="13">
        <v>44516</v>
      </c>
      <c r="C8" s="16" t="s">
        <v>18</v>
      </c>
      <c r="D8" s="16" t="s">
        <v>19</v>
      </c>
      <c r="E8" s="16">
        <v>20</v>
      </c>
      <c r="F8" s="16">
        <v>2</v>
      </c>
      <c r="G8" s="16">
        <v>417</v>
      </c>
      <c r="H8" s="16">
        <v>740473</v>
      </c>
      <c r="I8" s="16">
        <f t="shared" ref="I8:I66" si="1">(G8*$AB$14)+$AB$15</f>
        <v>-0.20124535757128181</v>
      </c>
      <c r="J8" s="130">
        <f t="shared" si="0"/>
        <v>5913.7233925622113</v>
      </c>
      <c r="K8" s="135"/>
      <c r="M8" s="115" t="s">
        <v>28</v>
      </c>
      <c r="N8" s="46">
        <v>7.5</v>
      </c>
      <c r="O8" s="46">
        <v>3406</v>
      </c>
      <c r="P8" s="47">
        <f>AVERAGE(N8:N10)</f>
        <v>7.5</v>
      </c>
      <c r="Q8" s="48">
        <f>AVERAGE(O8:O10)</f>
        <v>4107.666666666667</v>
      </c>
    </row>
    <row r="9" spans="1:29" x14ac:dyDescent="0.3">
      <c r="A9" s="78">
        <v>44502</v>
      </c>
      <c r="B9" s="13">
        <v>44516</v>
      </c>
      <c r="C9" s="16" t="s">
        <v>18</v>
      </c>
      <c r="D9" s="16" t="s">
        <v>19</v>
      </c>
      <c r="E9" s="16">
        <v>35</v>
      </c>
      <c r="F9" s="16">
        <v>3</v>
      </c>
      <c r="G9" s="16">
        <v>424</v>
      </c>
      <c r="H9" s="16">
        <v>970752</v>
      </c>
      <c r="I9" s="16">
        <f t="shared" si="1"/>
        <v>-0.18708913557204732</v>
      </c>
      <c r="J9" s="130">
        <f t="shared" si="0"/>
        <v>7894.6333398046972</v>
      </c>
      <c r="K9" s="135"/>
      <c r="M9" s="116" t="s">
        <v>28</v>
      </c>
      <c r="N9" s="49">
        <v>7.5</v>
      </c>
      <c r="O9" s="49">
        <v>4401</v>
      </c>
      <c r="P9" s="50"/>
      <c r="Q9" s="51"/>
      <c r="AC9" s="2"/>
    </row>
    <row r="10" spans="1:29" ht="17.25" thickBot="1" x14ac:dyDescent="0.35">
      <c r="A10" s="78">
        <v>44502</v>
      </c>
      <c r="B10" s="13">
        <v>44516</v>
      </c>
      <c r="C10" s="16" t="s">
        <v>18</v>
      </c>
      <c r="D10" s="16" t="s">
        <v>19</v>
      </c>
      <c r="E10" s="16">
        <v>50</v>
      </c>
      <c r="F10" s="16">
        <v>4</v>
      </c>
      <c r="G10" s="16">
        <v>420</v>
      </c>
      <c r="H10" s="16">
        <v>1047458</v>
      </c>
      <c r="I10" s="16">
        <f t="shared" si="1"/>
        <v>-0.19517840528589558</v>
      </c>
      <c r="J10" s="130">
        <f t="shared" si="0"/>
        <v>8554.4750032355023</v>
      </c>
      <c r="K10" s="135"/>
      <c r="M10" s="121" t="s">
        <v>28</v>
      </c>
      <c r="N10" s="58">
        <v>7.5</v>
      </c>
      <c r="O10" s="52">
        <v>4516</v>
      </c>
      <c r="P10" s="52"/>
      <c r="Q10" s="53"/>
      <c r="AC10" s="2"/>
    </row>
    <row r="11" spans="1:29" x14ac:dyDescent="0.3">
      <c r="A11" s="79">
        <v>44502</v>
      </c>
      <c r="B11" s="25">
        <v>44516</v>
      </c>
      <c r="C11" s="26" t="s">
        <v>18</v>
      </c>
      <c r="D11" s="26" t="s">
        <v>20</v>
      </c>
      <c r="E11" s="26">
        <v>10</v>
      </c>
      <c r="F11" s="26">
        <v>5</v>
      </c>
      <c r="G11" s="26">
        <v>765</v>
      </c>
      <c r="H11" s="26">
        <v>460745</v>
      </c>
      <c r="I11" s="26">
        <f t="shared" si="1"/>
        <v>0.50252110753351875</v>
      </c>
      <c r="J11" s="131">
        <f t="shared" si="0"/>
        <v>3507.4424128712872</v>
      </c>
      <c r="K11" s="136"/>
      <c r="M11" s="57" t="s">
        <v>29</v>
      </c>
      <c r="N11" s="46">
        <v>5</v>
      </c>
      <c r="O11" s="46">
        <v>2855</v>
      </c>
      <c r="P11" s="47">
        <f>AVERAGE(N11:N13)</f>
        <v>5</v>
      </c>
      <c r="Q11" s="48">
        <f>AVERAGE(O11:O13)</f>
        <v>3090.3333333333335</v>
      </c>
      <c r="AC11" s="2"/>
    </row>
    <row r="12" spans="1:29" x14ac:dyDescent="0.3">
      <c r="A12" s="80">
        <v>44502</v>
      </c>
      <c r="B12" s="27">
        <v>44516</v>
      </c>
      <c r="C12" s="28" t="s">
        <v>18</v>
      </c>
      <c r="D12" s="28" t="s">
        <v>20</v>
      </c>
      <c r="E12" s="28">
        <v>20</v>
      </c>
      <c r="F12" s="28">
        <v>6</v>
      </c>
      <c r="G12" s="28">
        <v>581</v>
      </c>
      <c r="H12" s="28">
        <v>1317771</v>
      </c>
      <c r="I12" s="28">
        <f t="shared" si="1"/>
        <v>0.13041470069649774</v>
      </c>
      <c r="J12" s="132">
        <f t="shared" si="0"/>
        <v>10879.766109106895</v>
      </c>
      <c r="K12" s="136"/>
      <c r="M12" s="9" t="s">
        <v>29</v>
      </c>
      <c r="N12" s="49">
        <v>5</v>
      </c>
      <c r="O12" s="49">
        <v>3164</v>
      </c>
      <c r="P12" s="50"/>
      <c r="Q12" s="51"/>
      <c r="AC12" s="2"/>
    </row>
    <row r="13" spans="1:29" ht="17.25" thickBot="1" x14ac:dyDescent="0.35">
      <c r="A13" s="80">
        <v>44502</v>
      </c>
      <c r="B13" s="27">
        <v>44516</v>
      </c>
      <c r="C13" s="28" t="s">
        <v>18</v>
      </c>
      <c r="D13" s="28" t="s">
        <v>20</v>
      </c>
      <c r="E13" s="28">
        <v>35</v>
      </c>
      <c r="F13" s="28">
        <v>7</v>
      </c>
      <c r="G13" s="28">
        <v>725</v>
      </c>
      <c r="H13" s="28">
        <v>1741721</v>
      </c>
      <c r="I13" s="28">
        <f t="shared" si="1"/>
        <v>0.42162841039503585</v>
      </c>
      <c r="J13" s="132">
        <f t="shared" si="0"/>
        <v>14526.676040683165</v>
      </c>
      <c r="K13" s="136"/>
      <c r="M13" s="11" t="s">
        <v>29</v>
      </c>
      <c r="N13" s="58">
        <v>5</v>
      </c>
      <c r="O13" s="58">
        <v>3252</v>
      </c>
      <c r="P13" s="52"/>
      <c r="Q13" s="53"/>
      <c r="AC13" s="2"/>
    </row>
    <row r="14" spans="1:29" ht="17.25" thickBot="1" x14ac:dyDescent="0.35">
      <c r="A14" s="80">
        <v>44502</v>
      </c>
      <c r="B14" s="27">
        <v>44516</v>
      </c>
      <c r="C14" s="28" t="s">
        <v>18</v>
      </c>
      <c r="D14" s="28" t="s">
        <v>20</v>
      </c>
      <c r="E14" s="28">
        <v>50</v>
      </c>
      <c r="F14" s="28">
        <v>8</v>
      </c>
      <c r="G14" s="28">
        <v>713</v>
      </c>
      <c r="H14" s="28">
        <v>993717</v>
      </c>
      <c r="I14" s="28">
        <f t="shared" si="1"/>
        <v>0.39736060125349115</v>
      </c>
      <c r="J14" s="132">
        <f t="shared" si="0"/>
        <v>8092.1832550745385</v>
      </c>
      <c r="K14" s="136"/>
      <c r="M14" s="57" t="s">
        <v>30</v>
      </c>
      <c r="N14" s="46">
        <v>3</v>
      </c>
      <c r="O14" s="46">
        <v>1933</v>
      </c>
      <c r="P14" s="47">
        <f>AVERAGE(N14:N16)</f>
        <v>3</v>
      </c>
      <c r="Q14" s="48">
        <f>AVERAGE(O14:O16)</f>
        <v>2090.3333333333335</v>
      </c>
      <c r="AA14" s="3" t="s">
        <v>15</v>
      </c>
      <c r="AB14" s="2">
        <f>SLOPE(P8:P22,Q8:Q22)</f>
        <v>2.0223174284620705E-3</v>
      </c>
      <c r="AC14" s="2"/>
    </row>
    <row r="15" spans="1:29" x14ac:dyDescent="0.3">
      <c r="A15" s="70">
        <v>44502</v>
      </c>
      <c r="B15" s="18">
        <v>44516</v>
      </c>
      <c r="C15" s="19" t="s">
        <v>18</v>
      </c>
      <c r="D15" s="19" t="s">
        <v>21</v>
      </c>
      <c r="E15" s="19">
        <v>10</v>
      </c>
      <c r="F15" s="19">
        <v>9</v>
      </c>
      <c r="G15" s="19">
        <v>978</v>
      </c>
      <c r="H15" s="19">
        <v>383462</v>
      </c>
      <c r="I15" s="19">
        <f t="shared" si="1"/>
        <v>0.9332747197959399</v>
      </c>
      <c r="J15" s="129">
        <f t="shared" si="0"/>
        <v>2842.6372701846285</v>
      </c>
      <c r="K15" s="135"/>
      <c r="M15" s="9" t="s">
        <v>30</v>
      </c>
      <c r="N15" s="49">
        <v>3</v>
      </c>
      <c r="O15" s="49">
        <v>2110</v>
      </c>
      <c r="P15" s="50"/>
      <c r="Q15" s="51"/>
      <c r="AA15" s="3" t="s">
        <v>16</v>
      </c>
      <c r="AB15" s="2">
        <f>INTERCEPT(P8:P22,Q8:Q22)</f>
        <v>-1.0445517252399652</v>
      </c>
      <c r="AC15" s="2"/>
    </row>
    <row r="16" spans="1:29" ht="17.25" thickBot="1" x14ac:dyDescent="0.35">
      <c r="A16" s="78">
        <v>44502</v>
      </c>
      <c r="B16" s="13">
        <v>44516</v>
      </c>
      <c r="C16" s="16" t="s">
        <v>18</v>
      </c>
      <c r="D16" s="16" t="s">
        <v>21</v>
      </c>
      <c r="E16" s="16">
        <v>20</v>
      </c>
      <c r="F16" s="16">
        <v>10</v>
      </c>
      <c r="G16" s="16">
        <v>656</v>
      </c>
      <c r="H16" s="16">
        <v>1217929</v>
      </c>
      <c r="I16" s="16">
        <f t="shared" si="1"/>
        <v>0.28208850783115302</v>
      </c>
      <c r="J16" s="130">
        <f t="shared" si="0"/>
        <v>10020.903551285362</v>
      </c>
      <c r="K16" s="135"/>
      <c r="M16" s="11" t="s">
        <v>30</v>
      </c>
      <c r="N16" s="58">
        <v>3</v>
      </c>
      <c r="O16" s="58">
        <v>2228</v>
      </c>
      <c r="P16" s="52"/>
      <c r="Q16" s="53"/>
      <c r="AA16" s="3" t="s">
        <v>17</v>
      </c>
      <c r="AB16" s="2">
        <f>RSQ(P8:P22,Q8:Q22)</f>
        <v>0.99378176447536115</v>
      </c>
      <c r="AC16" s="2"/>
    </row>
    <row r="17" spans="1:29" x14ac:dyDescent="0.3">
      <c r="A17" s="78">
        <v>44502</v>
      </c>
      <c r="B17" s="13">
        <v>44516</v>
      </c>
      <c r="C17" s="16" t="s">
        <v>18</v>
      </c>
      <c r="D17" s="16" t="s">
        <v>21</v>
      </c>
      <c r="E17" s="16">
        <v>35</v>
      </c>
      <c r="F17" s="16">
        <v>11</v>
      </c>
      <c r="G17" s="16">
        <v>866</v>
      </c>
      <c r="H17" s="16">
        <v>348440</v>
      </c>
      <c r="I17" s="16">
        <f t="shared" si="1"/>
        <v>0.70677516780818794</v>
      </c>
      <c r="J17" s="130">
        <f t="shared" si="0"/>
        <v>2541.3704235667155</v>
      </c>
      <c r="K17" s="135"/>
      <c r="M17" s="57" t="s">
        <v>31</v>
      </c>
      <c r="N17" s="46">
        <v>1.5</v>
      </c>
      <c r="O17" s="46">
        <v>1279</v>
      </c>
      <c r="P17" s="47">
        <f>AVERAGE(N17:N19)</f>
        <v>1.5</v>
      </c>
      <c r="Q17" s="48">
        <f>AVERAGE(O17:O19)</f>
        <v>1301.3333333333333</v>
      </c>
      <c r="AA17" s="2"/>
      <c r="AB17" s="2"/>
      <c r="AC17" s="2"/>
    </row>
    <row r="18" spans="1:29" ht="17.25" thickBot="1" x14ac:dyDescent="0.35">
      <c r="A18" s="81">
        <v>44502</v>
      </c>
      <c r="B18" s="29">
        <v>44516</v>
      </c>
      <c r="C18" s="30" t="s">
        <v>18</v>
      </c>
      <c r="D18" s="30" t="s">
        <v>21</v>
      </c>
      <c r="E18" s="30">
        <v>50</v>
      </c>
      <c r="F18" s="30">
        <v>12</v>
      </c>
      <c r="G18" s="30">
        <v>714</v>
      </c>
      <c r="H18" s="30">
        <v>1093625</v>
      </c>
      <c r="I18" s="30">
        <f t="shared" si="1"/>
        <v>0.39938291868195308</v>
      </c>
      <c r="J18" s="133">
        <f t="shared" si="0"/>
        <v>8951.6135592234295</v>
      </c>
      <c r="K18" s="135"/>
      <c r="M18" s="9" t="s">
        <v>31</v>
      </c>
      <c r="N18" s="49">
        <v>1.5</v>
      </c>
      <c r="O18" s="49">
        <v>1312</v>
      </c>
      <c r="P18" s="50"/>
      <c r="Q18" s="51"/>
      <c r="AA18" s="2"/>
      <c r="AB18" s="2"/>
      <c r="AC18" s="2"/>
    </row>
    <row r="19" spans="1:29" ht="17.25" thickBot="1" x14ac:dyDescent="0.35">
      <c r="A19" s="70">
        <v>44502</v>
      </c>
      <c r="B19" s="18">
        <v>44516</v>
      </c>
      <c r="C19" s="19" t="s">
        <v>18</v>
      </c>
      <c r="D19" s="19" t="s">
        <v>22</v>
      </c>
      <c r="E19" s="19">
        <v>10</v>
      </c>
      <c r="F19" s="19">
        <v>13</v>
      </c>
      <c r="G19" s="19">
        <v>744</v>
      </c>
      <c r="H19" s="19">
        <v>485498</v>
      </c>
      <c r="I19" s="19">
        <f t="shared" si="1"/>
        <v>0.46005244153581537</v>
      </c>
      <c r="J19" s="129">
        <f t="shared" si="0"/>
        <v>3720.3730922823206</v>
      </c>
      <c r="K19" s="135"/>
      <c r="M19" s="11" t="s">
        <v>31</v>
      </c>
      <c r="N19" s="58">
        <v>1.5</v>
      </c>
      <c r="O19" s="58">
        <v>1313</v>
      </c>
      <c r="P19" s="52"/>
      <c r="Q19" s="53"/>
      <c r="AA19" s="2"/>
      <c r="AB19" s="2"/>
      <c r="AC19" s="2"/>
    </row>
    <row r="20" spans="1:29" x14ac:dyDescent="0.3">
      <c r="A20" s="78">
        <v>44502</v>
      </c>
      <c r="B20" s="13">
        <v>44516</v>
      </c>
      <c r="C20" s="16" t="s">
        <v>18</v>
      </c>
      <c r="D20" s="16" t="s">
        <v>22</v>
      </c>
      <c r="E20" s="16">
        <v>20</v>
      </c>
      <c r="F20" s="16">
        <v>14</v>
      </c>
      <c r="G20" s="16">
        <v>636</v>
      </c>
      <c r="H20" s="16">
        <v>949042</v>
      </c>
      <c r="I20" s="16">
        <f t="shared" si="1"/>
        <v>0.24164215926191157</v>
      </c>
      <c r="J20" s="130">
        <f t="shared" si="0"/>
        <v>7707.8792069717674</v>
      </c>
      <c r="K20" s="135"/>
      <c r="M20" s="7" t="s">
        <v>32</v>
      </c>
      <c r="N20" s="54">
        <v>0.5</v>
      </c>
      <c r="O20" s="54">
        <v>637</v>
      </c>
      <c r="P20" s="55">
        <f>AVERAGE(N20:N22)</f>
        <v>0.5</v>
      </c>
      <c r="Q20" s="56">
        <f>AVERAGE(O20:O22)</f>
        <v>646.33333333333337</v>
      </c>
      <c r="AA20" s="2"/>
      <c r="AB20" s="2"/>
      <c r="AC20" s="2"/>
    </row>
    <row r="21" spans="1:29" x14ac:dyDescent="0.3">
      <c r="A21" s="78">
        <v>44502</v>
      </c>
      <c r="B21" s="13">
        <v>44516</v>
      </c>
      <c r="C21" s="16" t="s">
        <v>18</v>
      </c>
      <c r="D21" s="16" t="s">
        <v>22</v>
      </c>
      <c r="E21" s="16">
        <v>35</v>
      </c>
      <c r="F21" s="16">
        <v>15</v>
      </c>
      <c r="G21" s="16">
        <v>797</v>
      </c>
      <c r="H21" s="16">
        <v>666612</v>
      </c>
      <c r="I21" s="16">
        <f t="shared" si="1"/>
        <v>0.56723526524430512</v>
      </c>
      <c r="J21" s="130">
        <f t="shared" si="0"/>
        <v>5278.3550367274311</v>
      </c>
      <c r="K21" s="135"/>
      <c r="M21" s="9" t="s">
        <v>32</v>
      </c>
      <c r="N21" s="49">
        <v>0.5</v>
      </c>
      <c r="O21" s="49">
        <v>614</v>
      </c>
      <c r="P21" s="50"/>
      <c r="Q21" s="51"/>
      <c r="AA21" s="2"/>
      <c r="AB21" s="2"/>
      <c r="AC21" s="2"/>
    </row>
    <row r="22" spans="1:29" ht="17.25" thickBot="1" x14ac:dyDescent="0.35">
      <c r="A22" s="78"/>
      <c r="B22" s="13"/>
      <c r="C22" s="16" t="s">
        <v>18</v>
      </c>
      <c r="D22" s="16" t="s">
        <v>22</v>
      </c>
      <c r="E22" s="16">
        <v>50</v>
      </c>
      <c r="F22" s="16">
        <v>16</v>
      </c>
      <c r="G22" s="16"/>
      <c r="H22" s="16"/>
      <c r="I22" s="16"/>
      <c r="J22" s="130"/>
      <c r="K22" s="135" t="s">
        <v>49</v>
      </c>
      <c r="M22" s="11" t="s">
        <v>32</v>
      </c>
      <c r="N22" s="58">
        <v>0.5</v>
      </c>
      <c r="O22" s="58">
        <v>688</v>
      </c>
      <c r="P22" s="52"/>
      <c r="Q22" s="53"/>
      <c r="AA22" s="2"/>
      <c r="AB22" s="2"/>
      <c r="AC22" s="2"/>
    </row>
    <row r="23" spans="1:29" x14ac:dyDescent="0.3">
      <c r="A23" s="79">
        <v>44502</v>
      </c>
      <c r="B23" s="25">
        <v>44516</v>
      </c>
      <c r="C23" s="26" t="s">
        <v>18</v>
      </c>
      <c r="D23" s="26" t="s">
        <v>23</v>
      </c>
      <c r="E23" s="26">
        <v>10</v>
      </c>
      <c r="F23" s="26">
        <v>17</v>
      </c>
      <c r="G23" s="26">
        <v>832</v>
      </c>
      <c r="H23" s="26">
        <v>170712</v>
      </c>
      <c r="I23" s="26">
        <f t="shared" si="1"/>
        <v>0.6380163752404775</v>
      </c>
      <c r="J23" s="131">
        <f t="shared" si="0"/>
        <v>1012.5155861585599</v>
      </c>
      <c r="K23" s="136"/>
      <c r="O23" s="2"/>
      <c r="P23" s="2"/>
      <c r="Q23" s="2"/>
      <c r="AA23" s="2"/>
      <c r="AB23" s="2"/>
      <c r="AC23" s="2"/>
    </row>
    <row r="24" spans="1:29" ht="17.25" thickBot="1" x14ac:dyDescent="0.35">
      <c r="A24" s="80">
        <v>44502</v>
      </c>
      <c r="B24" s="27">
        <v>44516</v>
      </c>
      <c r="C24" s="28" t="s">
        <v>18</v>
      </c>
      <c r="D24" s="28" t="s">
        <v>23</v>
      </c>
      <c r="E24" s="28">
        <v>20</v>
      </c>
      <c r="F24" s="28">
        <v>18</v>
      </c>
      <c r="G24" s="28">
        <v>411</v>
      </c>
      <c r="H24" s="28">
        <v>969774</v>
      </c>
      <c r="I24" s="28">
        <f t="shared" si="1"/>
        <v>-0.21337926214205416</v>
      </c>
      <c r="J24" s="132">
        <f t="shared" si="0"/>
        <v>7886.2203714992811</v>
      </c>
      <c r="K24" s="136"/>
      <c r="M24" s="40" t="s">
        <v>33</v>
      </c>
      <c r="O24" s="59"/>
      <c r="P24" s="59"/>
      <c r="Q24" s="2"/>
      <c r="AA24" s="2"/>
      <c r="AB24" s="2"/>
      <c r="AC24" s="2"/>
    </row>
    <row r="25" spans="1:29" ht="17.25" thickBot="1" x14ac:dyDescent="0.35">
      <c r="A25" s="80">
        <v>44502</v>
      </c>
      <c r="B25" s="27">
        <v>44516</v>
      </c>
      <c r="C25" s="28" t="s">
        <v>18</v>
      </c>
      <c r="D25" s="28" t="s">
        <v>23</v>
      </c>
      <c r="E25" s="28">
        <v>35</v>
      </c>
      <c r="F25" s="28">
        <v>19</v>
      </c>
      <c r="G25" s="28">
        <v>363</v>
      </c>
      <c r="H25" s="28">
        <v>1270734</v>
      </c>
      <c r="I25" s="28">
        <f t="shared" si="1"/>
        <v>-0.3104504987082336</v>
      </c>
      <c r="J25" s="132">
        <f t="shared" si="0"/>
        <v>10475.14362425832</v>
      </c>
      <c r="K25" s="136"/>
      <c r="M25" s="41" t="s">
        <v>13</v>
      </c>
      <c r="N25" s="42" t="s">
        <v>14</v>
      </c>
      <c r="O25" s="42" t="s">
        <v>0</v>
      </c>
      <c r="P25" s="43" t="s">
        <v>26</v>
      </c>
      <c r="Q25" s="44" t="s">
        <v>27</v>
      </c>
      <c r="AA25" s="2"/>
      <c r="AB25" s="2"/>
      <c r="AC25" s="2"/>
    </row>
    <row r="26" spans="1:29" ht="17.25" thickBot="1" x14ac:dyDescent="0.35">
      <c r="A26" s="82">
        <v>44502</v>
      </c>
      <c r="B26" s="32">
        <v>44516</v>
      </c>
      <c r="C26" s="33" t="s">
        <v>18</v>
      </c>
      <c r="D26" s="33" t="s">
        <v>23</v>
      </c>
      <c r="E26" s="33">
        <v>50</v>
      </c>
      <c r="F26" s="33">
        <v>20</v>
      </c>
      <c r="G26" s="34">
        <v>593</v>
      </c>
      <c r="H26" s="34">
        <v>1049721</v>
      </c>
      <c r="I26" s="33">
        <f t="shared" si="1"/>
        <v>0.15468250983804266</v>
      </c>
      <c r="J26" s="134">
        <f t="shared" si="0"/>
        <v>8573.9418204902668</v>
      </c>
      <c r="K26" s="136"/>
      <c r="M26" s="115" t="s">
        <v>28</v>
      </c>
      <c r="N26" s="45">
        <v>1375</v>
      </c>
      <c r="O26" s="45">
        <v>197542</v>
      </c>
      <c r="P26" s="60">
        <f>AVERAGE(N26:N28)</f>
        <v>1375</v>
      </c>
      <c r="Q26" s="61">
        <f>AVERAGE(O26:O28)</f>
        <v>239612.66666666666</v>
      </c>
      <c r="AA26" s="2"/>
      <c r="AB26" s="2"/>
      <c r="AC26" s="2"/>
    </row>
    <row r="27" spans="1:29" x14ac:dyDescent="0.3">
      <c r="A27" s="70">
        <v>44502</v>
      </c>
      <c r="B27" s="24">
        <v>44516</v>
      </c>
      <c r="C27" s="20" t="s">
        <v>24</v>
      </c>
      <c r="D27" s="19" t="s">
        <v>19</v>
      </c>
      <c r="E27" s="19">
        <v>10</v>
      </c>
      <c r="F27" s="19">
        <v>21</v>
      </c>
      <c r="G27" s="20">
        <v>682</v>
      </c>
      <c r="H27" s="20">
        <v>701791</v>
      </c>
      <c r="I27" s="19">
        <f t="shared" si="1"/>
        <v>0.33466876097116693</v>
      </c>
      <c r="J27" s="129">
        <f t="shared" si="0"/>
        <v>5580.9724314270934</v>
      </c>
      <c r="K27" s="135"/>
      <c r="M27" s="116" t="s">
        <v>28</v>
      </c>
      <c r="N27" s="62">
        <v>1375</v>
      </c>
      <c r="O27" s="62">
        <v>244001</v>
      </c>
      <c r="P27" s="63"/>
      <c r="Q27" s="64"/>
      <c r="AA27" s="2"/>
      <c r="AB27" s="2"/>
      <c r="AC27" s="2"/>
    </row>
    <row r="28" spans="1:29" ht="17.25" thickBot="1" x14ac:dyDescent="0.35">
      <c r="A28" s="78">
        <v>44502</v>
      </c>
      <c r="B28" s="14">
        <v>44516</v>
      </c>
      <c r="C28" s="17" t="s">
        <v>24</v>
      </c>
      <c r="D28" s="16" t="s">
        <v>19</v>
      </c>
      <c r="E28" s="16">
        <v>20</v>
      </c>
      <c r="F28" s="16">
        <v>22</v>
      </c>
      <c r="G28" s="17">
        <v>469</v>
      </c>
      <c r="H28" s="17">
        <v>1307708</v>
      </c>
      <c r="I28" s="16">
        <f t="shared" si="1"/>
        <v>-9.6084851291254103E-2</v>
      </c>
      <c r="J28" s="130">
        <f t="shared" si="0"/>
        <v>10793.201998618742</v>
      </c>
      <c r="K28" s="135"/>
      <c r="M28" s="121" t="s">
        <v>28</v>
      </c>
      <c r="N28" s="65">
        <v>1375</v>
      </c>
      <c r="O28" s="65">
        <v>277295</v>
      </c>
      <c r="P28" s="66"/>
      <c r="Q28" s="67"/>
      <c r="AA28" s="2"/>
      <c r="AB28" s="2"/>
      <c r="AC28" s="2"/>
    </row>
    <row r="29" spans="1:29" x14ac:dyDescent="0.3">
      <c r="A29" s="78">
        <v>44502</v>
      </c>
      <c r="B29" s="14">
        <v>44516</v>
      </c>
      <c r="C29" s="17" t="s">
        <v>24</v>
      </c>
      <c r="D29" s="16" t="s">
        <v>19</v>
      </c>
      <c r="E29" s="16">
        <v>35</v>
      </c>
      <c r="F29" s="16">
        <v>23</v>
      </c>
      <c r="G29" s="17">
        <v>601</v>
      </c>
      <c r="H29" s="17">
        <v>1115275</v>
      </c>
      <c r="I29" s="16">
        <f t="shared" si="1"/>
        <v>0.1708610492657392</v>
      </c>
      <c r="J29" s="130">
        <f t="shared" si="0"/>
        <v>9137.8515590314873</v>
      </c>
      <c r="K29" s="135"/>
      <c r="M29" s="57" t="s">
        <v>29</v>
      </c>
      <c r="N29" s="45">
        <v>916.7</v>
      </c>
      <c r="O29" s="45">
        <v>154506</v>
      </c>
      <c r="P29" s="60">
        <f>AVERAGE(N29:N31)</f>
        <v>916.70000000000016</v>
      </c>
      <c r="Q29" s="61">
        <f>AVERAGE(O29:O31)</f>
        <v>174796.66666666666</v>
      </c>
      <c r="AA29" s="3" t="s">
        <v>15</v>
      </c>
      <c r="AB29" s="2">
        <f>SLOPE(P26:P43,Q26:Q43)</f>
        <v>8.6022170812036121E-3</v>
      </c>
      <c r="AC29" s="2"/>
    </row>
    <row r="30" spans="1:29" ht="17.25" thickBot="1" x14ac:dyDescent="0.35">
      <c r="A30" s="81">
        <v>44502</v>
      </c>
      <c r="B30" s="35">
        <v>44516</v>
      </c>
      <c r="C30" s="36" t="s">
        <v>24</v>
      </c>
      <c r="D30" s="30" t="s">
        <v>19</v>
      </c>
      <c r="E30" s="30">
        <v>50</v>
      </c>
      <c r="F30" s="30">
        <v>24</v>
      </c>
      <c r="G30" s="36">
        <v>504</v>
      </c>
      <c r="H30" s="36">
        <v>1732814</v>
      </c>
      <c r="I30" s="30">
        <f t="shared" si="1"/>
        <v>-2.5303741295081617E-2</v>
      </c>
      <c r="J30" s="133">
        <f t="shared" si="0"/>
        <v>14450.056093140885</v>
      </c>
      <c r="K30" s="135"/>
      <c r="M30" s="9" t="s">
        <v>29</v>
      </c>
      <c r="N30" s="62">
        <v>916.7</v>
      </c>
      <c r="O30" s="62">
        <v>183641</v>
      </c>
      <c r="P30" s="63"/>
      <c r="Q30" s="64"/>
      <c r="AA30" s="3" t="s">
        <v>16</v>
      </c>
      <c r="AB30" s="2">
        <f>INTERCEPT(P26:P43,Q26:Q43)</f>
        <v>-455.98609620787101</v>
      </c>
      <c r="AC30" s="2"/>
    </row>
    <row r="31" spans="1:29" ht="17.25" thickBot="1" x14ac:dyDescent="0.35">
      <c r="A31" s="70">
        <v>44502</v>
      </c>
      <c r="B31" s="18">
        <v>44516</v>
      </c>
      <c r="C31" s="20" t="s">
        <v>24</v>
      </c>
      <c r="D31" s="19" t="s">
        <v>20</v>
      </c>
      <c r="E31" s="19">
        <v>10</v>
      </c>
      <c r="F31" s="19">
        <v>25</v>
      </c>
      <c r="G31" s="19">
        <v>632</v>
      </c>
      <c r="H31" s="19">
        <v>931845</v>
      </c>
      <c r="I31" s="19">
        <f t="shared" si="1"/>
        <v>0.23355288954806341</v>
      </c>
      <c r="J31" s="129">
        <f t="shared" si="0"/>
        <v>7559.9468798263088</v>
      </c>
      <c r="K31" s="135"/>
      <c r="M31" s="11" t="s">
        <v>29</v>
      </c>
      <c r="N31" s="65">
        <v>916.7</v>
      </c>
      <c r="O31" s="65">
        <v>186243</v>
      </c>
      <c r="P31" s="66"/>
      <c r="Q31" s="67"/>
      <c r="AA31" s="2" t="s">
        <v>17</v>
      </c>
      <c r="AB31" s="2">
        <f>RSQ(P26:P43,Q26:Q43)</f>
        <v>0.99794063863383609</v>
      </c>
    </row>
    <row r="32" spans="1:29" x14ac:dyDescent="0.3">
      <c r="A32" s="78">
        <v>44502</v>
      </c>
      <c r="B32" s="13">
        <v>44516</v>
      </c>
      <c r="C32" s="17" t="s">
        <v>24</v>
      </c>
      <c r="D32" s="16" t="s">
        <v>20</v>
      </c>
      <c r="E32" s="16">
        <v>20</v>
      </c>
      <c r="F32" s="16">
        <v>26</v>
      </c>
      <c r="G32" s="16">
        <v>475</v>
      </c>
      <c r="H32" s="16">
        <v>1574016</v>
      </c>
      <c r="I32" s="16">
        <f t="shared" si="1"/>
        <v>-8.3950946720481645E-2</v>
      </c>
      <c r="J32" s="130">
        <f t="shared" si="0"/>
        <v>13084.041225079915</v>
      </c>
      <c r="K32" s="135"/>
      <c r="M32" s="57" t="s">
        <v>30</v>
      </c>
      <c r="N32" s="45">
        <v>550</v>
      </c>
      <c r="O32" s="45">
        <v>128806</v>
      </c>
      <c r="P32" s="60">
        <f>AVERAGE(N32:N34)</f>
        <v>550</v>
      </c>
      <c r="Q32" s="61">
        <f>AVERAGE(O32:O34)</f>
        <v>126917.66666666667</v>
      </c>
      <c r="AA32" s="2"/>
      <c r="AB32" s="2"/>
    </row>
    <row r="33" spans="1:28" x14ac:dyDescent="0.3">
      <c r="A33" s="78">
        <v>44502</v>
      </c>
      <c r="B33" s="13">
        <v>44516</v>
      </c>
      <c r="C33" s="17" t="s">
        <v>24</v>
      </c>
      <c r="D33" s="16" t="s">
        <v>20</v>
      </c>
      <c r="E33" s="16">
        <v>35</v>
      </c>
      <c r="F33" s="16">
        <v>27</v>
      </c>
      <c r="G33" s="16">
        <v>334</v>
      </c>
      <c r="H33" s="16">
        <v>2125610</v>
      </c>
      <c r="I33" s="16">
        <f t="shared" si="1"/>
        <v>-0.36909770413363363</v>
      </c>
      <c r="J33" s="130">
        <f t="shared" si="0"/>
        <v>17828.972553769338</v>
      </c>
      <c r="K33" s="135"/>
      <c r="M33" s="9" t="s">
        <v>30</v>
      </c>
      <c r="N33" s="62">
        <v>550</v>
      </c>
      <c r="O33" s="62">
        <v>125009</v>
      </c>
      <c r="P33" s="63"/>
      <c r="Q33" s="64"/>
      <c r="AA33" s="2"/>
      <c r="AB33" s="2"/>
    </row>
    <row r="34" spans="1:28" ht="17.25" thickBot="1" x14ac:dyDescent="0.35">
      <c r="A34" s="78">
        <v>44502</v>
      </c>
      <c r="B34" s="13">
        <v>44516</v>
      </c>
      <c r="C34" s="17" t="s">
        <v>24</v>
      </c>
      <c r="D34" s="16" t="s">
        <v>20</v>
      </c>
      <c r="E34" s="16">
        <v>50</v>
      </c>
      <c r="F34" s="16">
        <v>28</v>
      </c>
      <c r="G34" s="16">
        <v>361</v>
      </c>
      <c r="H34" s="16">
        <v>2042996</v>
      </c>
      <c r="I34" s="16">
        <f t="shared" si="1"/>
        <v>-0.31449513356515768</v>
      </c>
      <c r="J34" s="130">
        <f t="shared" si="0"/>
        <v>17118.308991822785</v>
      </c>
      <c r="K34" s="135"/>
      <c r="M34" s="11" t="s">
        <v>30</v>
      </c>
      <c r="N34" s="65">
        <v>550</v>
      </c>
      <c r="O34" s="65">
        <v>126938</v>
      </c>
      <c r="P34" s="66"/>
      <c r="Q34" s="67"/>
      <c r="AA34" s="2"/>
      <c r="AB34" s="2"/>
    </row>
    <row r="35" spans="1:28" x14ac:dyDescent="0.3">
      <c r="A35" s="79">
        <v>44502</v>
      </c>
      <c r="B35" s="25">
        <v>44516</v>
      </c>
      <c r="C35" s="37" t="s">
        <v>24</v>
      </c>
      <c r="D35" s="26" t="s">
        <v>21</v>
      </c>
      <c r="E35" s="26">
        <v>10</v>
      </c>
      <c r="F35" s="26">
        <v>29</v>
      </c>
      <c r="G35" s="26">
        <v>752</v>
      </c>
      <c r="H35" s="26">
        <v>661620</v>
      </c>
      <c r="I35" s="26">
        <f t="shared" si="1"/>
        <v>0.47623098096351191</v>
      </c>
      <c r="J35" s="131">
        <f t="shared" si="0"/>
        <v>5235.4127690580626</v>
      </c>
      <c r="K35" s="136"/>
      <c r="M35" s="57" t="s">
        <v>31</v>
      </c>
      <c r="N35" s="45">
        <v>275</v>
      </c>
      <c r="O35" s="45">
        <v>90566</v>
      </c>
      <c r="P35" s="60">
        <f>AVERAGE(N35:N37)</f>
        <v>275</v>
      </c>
      <c r="Q35" s="61">
        <f>AVERAGE(O35:O37)</f>
        <v>84150.666666666672</v>
      </c>
      <c r="AA35" s="2"/>
      <c r="AB35" s="2"/>
    </row>
    <row r="36" spans="1:28" x14ac:dyDescent="0.3">
      <c r="A36" s="80">
        <v>44502</v>
      </c>
      <c r="B36" s="27">
        <v>44516</v>
      </c>
      <c r="C36" s="31" t="s">
        <v>24</v>
      </c>
      <c r="D36" s="28" t="s">
        <v>21</v>
      </c>
      <c r="E36" s="28">
        <v>20</v>
      </c>
      <c r="F36" s="28">
        <v>30</v>
      </c>
      <c r="G36" s="28">
        <v>508</v>
      </c>
      <c r="H36" s="28">
        <v>1221021</v>
      </c>
      <c r="I36" s="28">
        <f t="shared" si="1"/>
        <v>-1.7214471581233459E-2</v>
      </c>
      <c r="J36" s="132">
        <f t="shared" si="0"/>
        <v>10047.501606500444</v>
      </c>
      <c r="K36" s="136"/>
      <c r="M36" s="9" t="s">
        <v>31</v>
      </c>
      <c r="N36" s="62">
        <v>275</v>
      </c>
      <c r="O36" s="62">
        <v>81493</v>
      </c>
      <c r="P36" s="63"/>
      <c r="Q36" s="64"/>
    </row>
    <row r="37" spans="1:28" ht="17.25" thickBot="1" x14ac:dyDescent="0.35">
      <c r="A37" s="80">
        <v>44502</v>
      </c>
      <c r="B37" s="27">
        <v>44516</v>
      </c>
      <c r="C37" s="31" t="s">
        <v>24</v>
      </c>
      <c r="D37" s="28" t="s">
        <v>21</v>
      </c>
      <c r="E37" s="28">
        <v>35</v>
      </c>
      <c r="F37" s="28">
        <v>31</v>
      </c>
      <c r="G37" s="28">
        <v>541</v>
      </c>
      <c r="H37" s="28">
        <v>982822</v>
      </c>
      <c r="I37" s="28">
        <f t="shared" si="1"/>
        <v>4.952200355801506E-2</v>
      </c>
      <c r="J37" s="132">
        <f t="shared" si="0"/>
        <v>7998.4620999748258</v>
      </c>
      <c r="K37" s="136"/>
      <c r="M37" s="11" t="s">
        <v>31</v>
      </c>
      <c r="N37" s="65">
        <v>275</v>
      </c>
      <c r="O37" s="65">
        <v>80393</v>
      </c>
      <c r="P37" s="66"/>
      <c r="Q37" s="67"/>
    </row>
    <row r="38" spans="1:28" ht="17.25" thickBot="1" x14ac:dyDescent="0.35">
      <c r="A38" s="82">
        <v>44502</v>
      </c>
      <c r="B38" s="38">
        <v>44516</v>
      </c>
      <c r="C38" s="34" t="s">
        <v>24</v>
      </c>
      <c r="D38" s="33" t="s">
        <v>21</v>
      </c>
      <c r="E38" s="33">
        <v>50</v>
      </c>
      <c r="F38" s="33">
        <v>32</v>
      </c>
      <c r="G38" s="33">
        <v>572</v>
      </c>
      <c r="H38" s="33">
        <v>1524780</v>
      </c>
      <c r="I38" s="33">
        <f t="shared" si="1"/>
        <v>0.11221384384033906</v>
      </c>
      <c r="J38" s="134">
        <f t="shared" si="0"/>
        <v>12660.502464869773</v>
      </c>
      <c r="K38" s="136"/>
      <c r="M38" s="57" t="s">
        <v>32</v>
      </c>
      <c r="N38" s="45">
        <v>91.7</v>
      </c>
      <c r="O38" s="45">
        <v>49244</v>
      </c>
      <c r="P38" s="60">
        <f>AVERAGE(N38:N40)</f>
        <v>91.7</v>
      </c>
      <c r="Q38" s="61">
        <f>AVERAGE(O38:O40)</f>
        <v>45986</v>
      </c>
    </row>
    <row r="39" spans="1:28" x14ac:dyDescent="0.3">
      <c r="A39" s="70">
        <v>44502</v>
      </c>
      <c r="B39" s="18">
        <v>44516</v>
      </c>
      <c r="C39" s="20" t="s">
        <v>24</v>
      </c>
      <c r="D39" s="19" t="s">
        <v>22</v>
      </c>
      <c r="E39" s="19">
        <v>10</v>
      </c>
      <c r="F39" s="19">
        <v>33</v>
      </c>
      <c r="G39" s="19">
        <v>742</v>
      </c>
      <c r="H39" s="19">
        <v>906385</v>
      </c>
      <c r="I39" s="19">
        <f t="shared" si="1"/>
        <v>0.45600780667889107</v>
      </c>
      <c r="J39" s="129">
        <f t="shared" ref="J39:J66" si="2">(H39*$AB$29)+$AB$30</f>
        <v>7340.934432938865</v>
      </c>
      <c r="K39" s="135"/>
      <c r="M39" s="9" t="s">
        <v>32</v>
      </c>
      <c r="N39" s="62">
        <v>91.7</v>
      </c>
      <c r="O39" s="62">
        <v>45758</v>
      </c>
      <c r="P39" s="63"/>
      <c r="Q39" s="64"/>
    </row>
    <row r="40" spans="1:28" ht="17.25" thickBot="1" x14ac:dyDescent="0.35">
      <c r="A40" s="78">
        <v>44502</v>
      </c>
      <c r="B40" s="13">
        <v>44516</v>
      </c>
      <c r="C40" s="17" t="s">
        <v>24</v>
      </c>
      <c r="D40" s="16" t="s">
        <v>22</v>
      </c>
      <c r="E40" s="16">
        <v>20</v>
      </c>
      <c r="F40" s="16">
        <v>34</v>
      </c>
      <c r="G40" s="16">
        <v>601</v>
      </c>
      <c r="H40" s="16">
        <v>1603754</v>
      </c>
      <c r="I40" s="16">
        <f t="shared" si="1"/>
        <v>0.1708610492657392</v>
      </c>
      <c r="J40" s="130">
        <f t="shared" si="2"/>
        <v>13339.853956640747</v>
      </c>
      <c r="K40" s="135"/>
      <c r="M40" s="11" t="s">
        <v>32</v>
      </c>
      <c r="N40" s="65">
        <v>91.7</v>
      </c>
      <c r="O40" s="65">
        <v>42956</v>
      </c>
      <c r="P40" s="65"/>
      <c r="Q40" s="122"/>
    </row>
    <row r="41" spans="1:28" ht="17.25" thickBot="1" x14ac:dyDescent="0.35">
      <c r="A41" s="78">
        <v>44502</v>
      </c>
      <c r="B41" s="13">
        <v>44516</v>
      </c>
      <c r="C41" s="17" t="s">
        <v>24</v>
      </c>
      <c r="D41" s="16" t="s">
        <v>22</v>
      </c>
      <c r="E41" s="16">
        <v>35</v>
      </c>
      <c r="F41" s="16">
        <v>35</v>
      </c>
      <c r="G41" s="16">
        <v>564</v>
      </c>
      <c r="H41" s="16">
        <v>1494027</v>
      </c>
      <c r="I41" s="16">
        <f t="shared" si="1"/>
        <v>9.6035304412642519E-2</v>
      </c>
      <c r="J41" s="130">
        <f t="shared" si="2"/>
        <v>12395.958482971519</v>
      </c>
      <c r="K41" s="135"/>
      <c r="M41" s="75" t="s">
        <v>36</v>
      </c>
      <c r="N41" s="76">
        <v>2500</v>
      </c>
      <c r="O41" s="77">
        <v>320172</v>
      </c>
      <c r="P41" s="77">
        <f>AVERAGE(N41:N41)</f>
        <v>2500</v>
      </c>
      <c r="Q41" s="123">
        <f>AVERAGE(O41)</f>
        <v>320172</v>
      </c>
    </row>
    <row r="42" spans="1:28" ht="17.25" thickBot="1" x14ac:dyDescent="0.35">
      <c r="A42" s="81">
        <v>44502</v>
      </c>
      <c r="B42" s="29">
        <v>44516</v>
      </c>
      <c r="C42" s="36" t="s">
        <v>24</v>
      </c>
      <c r="D42" s="30" t="s">
        <v>22</v>
      </c>
      <c r="E42" s="30">
        <v>50</v>
      </c>
      <c r="F42" s="30">
        <v>36</v>
      </c>
      <c r="G42" s="30">
        <v>676</v>
      </c>
      <c r="H42" s="30">
        <v>1251258</v>
      </c>
      <c r="I42" s="30">
        <f t="shared" si="1"/>
        <v>0.32253485640039448</v>
      </c>
      <c r="J42" s="133">
        <f t="shared" si="2"/>
        <v>10307.606844384798</v>
      </c>
      <c r="K42" s="135"/>
      <c r="M42" s="75" t="s">
        <v>46</v>
      </c>
      <c r="N42" s="76">
        <v>5000</v>
      </c>
      <c r="O42" s="77">
        <v>617286</v>
      </c>
      <c r="P42" s="77">
        <f>AVERAGE(N42:N42)</f>
        <v>5000</v>
      </c>
      <c r="Q42" s="123">
        <f t="shared" ref="Q42:Q43" si="3">AVERAGE(O42)</f>
        <v>617286</v>
      </c>
    </row>
    <row r="43" spans="1:28" ht="17.25" thickBot="1" x14ac:dyDescent="0.35">
      <c r="A43" s="70">
        <v>44502</v>
      </c>
      <c r="B43" s="18">
        <v>44516</v>
      </c>
      <c r="C43" s="20" t="s">
        <v>24</v>
      </c>
      <c r="D43" s="19" t="s">
        <v>23</v>
      </c>
      <c r="E43" s="19">
        <v>10</v>
      </c>
      <c r="F43" s="19">
        <v>37</v>
      </c>
      <c r="G43" s="19">
        <v>702</v>
      </c>
      <c r="H43" s="19">
        <v>501489</v>
      </c>
      <c r="I43" s="19">
        <f t="shared" si="1"/>
        <v>0.37511510954040839</v>
      </c>
      <c r="J43" s="129">
        <f t="shared" si="2"/>
        <v>3857.9311456278474</v>
      </c>
      <c r="K43" s="135"/>
      <c r="M43" s="124" t="s">
        <v>34</v>
      </c>
      <c r="N43" s="125">
        <v>10000</v>
      </c>
      <c r="O43" s="126">
        <v>1222475</v>
      </c>
      <c r="P43" s="126">
        <f>N43</f>
        <v>10000</v>
      </c>
      <c r="Q43" s="127">
        <f t="shared" si="3"/>
        <v>1222475</v>
      </c>
    </row>
    <row r="44" spans="1:28" x14ac:dyDescent="0.3">
      <c r="A44" s="78">
        <v>44502</v>
      </c>
      <c r="B44" s="13">
        <v>44516</v>
      </c>
      <c r="C44" s="17" t="s">
        <v>24</v>
      </c>
      <c r="D44" s="16" t="s">
        <v>23</v>
      </c>
      <c r="E44" s="16">
        <v>20</v>
      </c>
      <c r="F44" s="16">
        <v>38</v>
      </c>
      <c r="G44" s="16">
        <v>599</v>
      </c>
      <c r="H44" s="16">
        <v>806677</v>
      </c>
      <c r="I44" s="16">
        <f t="shared" si="1"/>
        <v>0.16681641440881512</v>
      </c>
      <c r="J44" s="130">
        <f t="shared" si="2"/>
        <v>6483.2245722062153</v>
      </c>
      <c r="K44" s="135"/>
    </row>
    <row r="45" spans="1:28" x14ac:dyDescent="0.3">
      <c r="A45" s="78">
        <v>44502</v>
      </c>
      <c r="B45" s="13">
        <v>44516</v>
      </c>
      <c r="C45" s="17" t="s">
        <v>24</v>
      </c>
      <c r="D45" s="16" t="s">
        <v>23</v>
      </c>
      <c r="E45" s="16">
        <v>35</v>
      </c>
      <c r="F45" s="16">
        <v>39</v>
      </c>
      <c r="G45" s="16">
        <v>679</v>
      </c>
      <c r="H45" s="16">
        <v>749108</v>
      </c>
      <c r="I45" s="16">
        <f t="shared" si="1"/>
        <v>0.32860180868578071</v>
      </c>
      <c r="J45" s="130">
        <f t="shared" si="2"/>
        <v>5988.0035370584046</v>
      </c>
      <c r="K45" s="135"/>
      <c r="M45" s="72"/>
      <c r="N45" s="73"/>
      <c r="O45" s="74"/>
      <c r="P45" s="74"/>
      <c r="Q45" s="74"/>
    </row>
    <row r="46" spans="1:28" ht="17.25" thickBot="1" x14ac:dyDescent="0.35">
      <c r="A46" s="78">
        <v>44502</v>
      </c>
      <c r="B46" s="13">
        <v>44516</v>
      </c>
      <c r="C46" s="17" t="s">
        <v>24</v>
      </c>
      <c r="D46" s="16" t="s">
        <v>23</v>
      </c>
      <c r="E46" s="16">
        <v>50</v>
      </c>
      <c r="F46" s="16">
        <v>40</v>
      </c>
      <c r="G46" s="16">
        <v>516</v>
      </c>
      <c r="H46" s="16">
        <v>1816423</v>
      </c>
      <c r="I46" s="16">
        <f t="shared" si="1"/>
        <v>-1.0359321535367005E-3</v>
      </c>
      <c r="J46" s="130">
        <f t="shared" si="2"/>
        <v>15169.278861083238</v>
      </c>
      <c r="K46" s="135"/>
    </row>
    <row r="47" spans="1:28" x14ac:dyDescent="0.3">
      <c r="A47" s="79">
        <v>44502</v>
      </c>
      <c r="B47" s="25">
        <v>44516</v>
      </c>
      <c r="C47" s="26" t="s">
        <v>25</v>
      </c>
      <c r="D47" s="26" t="s">
        <v>19</v>
      </c>
      <c r="E47" s="26">
        <v>10</v>
      </c>
      <c r="F47" s="26">
        <v>41</v>
      </c>
      <c r="G47" s="26">
        <v>734</v>
      </c>
      <c r="H47" s="26">
        <v>427329</v>
      </c>
      <c r="I47" s="26">
        <f t="shared" si="1"/>
        <v>0.43982926725119453</v>
      </c>
      <c r="J47" s="131">
        <f t="shared" si="2"/>
        <v>3219.9907268857874</v>
      </c>
      <c r="K47" s="136"/>
    </row>
    <row r="48" spans="1:28" x14ac:dyDescent="0.3">
      <c r="A48" s="80">
        <v>44502</v>
      </c>
      <c r="B48" s="27">
        <v>44516</v>
      </c>
      <c r="C48" s="28" t="s">
        <v>25</v>
      </c>
      <c r="D48" s="28" t="s">
        <v>19</v>
      </c>
      <c r="E48" s="28">
        <v>20</v>
      </c>
      <c r="F48" s="28">
        <v>42</v>
      </c>
      <c r="G48" s="28">
        <v>276</v>
      </c>
      <c r="H48" s="28">
        <v>2501549</v>
      </c>
      <c r="I48" s="28">
        <f t="shared" si="1"/>
        <v>-0.48639211498443369</v>
      </c>
      <c r="J48" s="132">
        <f t="shared" si="2"/>
        <v>21062.881441059944</v>
      </c>
      <c r="K48" s="136"/>
    </row>
    <row r="49" spans="1:18" x14ac:dyDescent="0.3">
      <c r="A49" s="80">
        <v>44502</v>
      </c>
      <c r="B49" s="27">
        <v>44516</v>
      </c>
      <c r="C49" s="28" t="s">
        <v>25</v>
      </c>
      <c r="D49" s="28" t="s">
        <v>19</v>
      </c>
      <c r="E49" s="28">
        <v>35</v>
      </c>
      <c r="F49" s="28">
        <v>43</v>
      </c>
      <c r="G49" s="28">
        <v>349</v>
      </c>
      <c r="H49" s="28">
        <v>1743308</v>
      </c>
      <c r="I49" s="28">
        <f t="shared" si="1"/>
        <v>-0.3387629427067026</v>
      </c>
      <c r="J49" s="132">
        <f t="shared" si="2"/>
        <v>14540.327759191036</v>
      </c>
      <c r="K49" s="136"/>
    </row>
    <row r="50" spans="1:18" ht="17.25" thickBot="1" x14ac:dyDescent="0.35">
      <c r="A50" s="80">
        <v>44502</v>
      </c>
      <c r="B50" s="27">
        <v>44516</v>
      </c>
      <c r="C50" s="28" t="s">
        <v>25</v>
      </c>
      <c r="D50" s="28" t="s">
        <v>19</v>
      </c>
      <c r="E50" s="28">
        <v>50</v>
      </c>
      <c r="F50" s="28">
        <v>44</v>
      </c>
      <c r="G50" s="28">
        <v>0</v>
      </c>
      <c r="H50" s="28">
        <v>3498643</v>
      </c>
      <c r="I50" s="28">
        <f t="shared" si="1"/>
        <v>-1.0445517252399652</v>
      </c>
      <c r="J50" s="132">
        <f t="shared" si="2"/>
        <v>29640.100479425579</v>
      </c>
      <c r="K50" s="136" t="s">
        <v>50</v>
      </c>
    </row>
    <row r="51" spans="1:18" x14ac:dyDescent="0.3">
      <c r="A51" s="70">
        <v>44502</v>
      </c>
      <c r="B51" s="18">
        <v>44516</v>
      </c>
      <c r="C51" s="19" t="s">
        <v>25</v>
      </c>
      <c r="D51" s="19" t="s">
        <v>20</v>
      </c>
      <c r="E51" s="19">
        <v>10</v>
      </c>
      <c r="F51" s="19">
        <v>45</v>
      </c>
      <c r="G51" s="19">
        <v>640</v>
      </c>
      <c r="H51" s="19">
        <v>1364091</v>
      </c>
      <c r="I51" s="19">
        <f t="shared" si="1"/>
        <v>0.24973142897575995</v>
      </c>
      <c r="J51" s="129">
        <f t="shared" si="2"/>
        <v>11278.220804308245</v>
      </c>
      <c r="K51" s="135"/>
    </row>
    <row r="52" spans="1:18" x14ac:dyDescent="0.3">
      <c r="A52" s="78">
        <v>44502</v>
      </c>
      <c r="B52" s="13">
        <v>44516</v>
      </c>
      <c r="C52" s="16" t="s">
        <v>25</v>
      </c>
      <c r="D52" s="16" t="s">
        <v>20</v>
      </c>
      <c r="E52" s="16">
        <v>20</v>
      </c>
      <c r="F52" s="16">
        <v>46</v>
      </c>
      <c r="G52" s="16">
        <v>448</v>
      </c>
      <c r="H52" s="16">
        <v>2177919</v>
      </c>
      <c r="I52" s="16">
        <f t="shared" si="1"/>
        <v>-0.13855351728895759</v>
      </c>
      <c r="J52" s="130">
        <f t="shared" si="2"/>
        <v>18278.945927070017</v>
      </c>
      <c r="K52" s="135"/>
    </row>
    <row r="53" spans="1:18" x14ac:dyDescent="0.3">
      <c r="A53" s="78">
        <v>44502</v>
      </c>
      <c r="B53" s="13">
        <v>44516</v>
      </c>
      <c r="C53" s="16" t="s">
        <v>25</v>
      </c>
      <c r="D53" s="16" t="s">
        <v>20</v>
      </c>
      <c r="E53" s="16">
        <v>35</v>
      </c>
      <c r="F53" s="16">
        <v>47</v>
      </c>
      <c r="G53" s="16">
        <v>606</v>
      </c>
      <c r="H53" s="16">
        <v>1728601</v>
      </c>
      <c r="I53" s="16">
        <f t="shared" si="1"/>
        <v>0.1809726364080495</v>
      </c>
      <c r="J53" s="130">
        <f t="shared" si="2"/>
        <v>14413.814952577774</v>
      </c>
      <c r="K53" s="135"/>
    </row>
    <row r="54" spans="1:18" ht="17.25" thickBot="1" x14ac:dyDescent="0.35">
      <c r="A54" s="81"/>
      <c r="B54" s="29"/>
      <c r="C54" s="30" t="s">
        <v>25</v>
      </c>
      <c r="D54" s="30" t="s">
        <v>20</v>
      </c>
      <c r="E54" s="30">
        <v>50</v>
      </c>
      <c r="F54" s="30">
        <v>48</v>
      </c>
      <c r="G54" s="30"/>
      <c r="H54" s="30"/>
      <c r="I54" s="30"/>
      <c r="J54" s="133"/>
      <c r="K54" s="135" t="s">
        <v>49</v>
      </c>
    </row>
    <row r="55" spans="1:18" x14ac:dyDescent="0.3">
      <c r="A55" s="70">
        <v>44502</v>
      </c>
      <c r="B55" s="18">
        <v>44516</v>
      </c>
      <c r="C55" s="19" t="s">
        <v>25</v>
      </c>
      <c r="D55" s="19" t="s">
        <v>21</v>
      </c>
      <c r="E55" s="19">
        <v>10</v>
      </c>
      <c r="F55" s="19">
        <v>49</v>
      </c>
      <c r="G55" s="19">
        <v>677</v>
      </c>
      <c r="H55" s="19">
        <v>918279</v>
      </c>
      <c r="I55" s="19">
        <f t="shared" si="1"/>
        <v>0.32455717382885663</v>
      </c>
      <c r="J55" s="129">
        <f t="shared" si="2"/>
        <v>7443.2492029027007</v>
      </c>
      <c r="K55" s="135"/>
    </row>
    <row r="56" spans="1:18" x14ac:dyDescent="0.3">
      <c r="A56" s="78">
        <v>44502</v>
      </c>
      <c r="B56" s="13">
        <v>44516</v>
      </c>
      <c r="C56" s="16" t="s">
        <v>25</v>
      </c>
      <c r="D56" s="16" t="s">
        <v>21</v>
      </c>
      <c r="E56" s="16">
        <v>20</v>
      </c>
      <c r="F56" s="16">
        <v>50</v>
      </c>
      <c r="G56" s="16">
        <v>294</v>
      </c>
      <c r="H56" s="16">
        <v>2793139</v>
      </c>
      <c r="I56" s="16">
        <f t="shared" si="1"/>
        <v>-0.44999040127211642</v>
      </c>
      <c r="J56" s="130">
        <f t="shared" si="2"/>
        <v>23571.201919768104</v>
      </c>
      <c r="K56" s="135"/>
      <c r="O56" s="68"/>
      <c r="P56" s="68"/>
      <c r="Q56" s="68"/>
      <c r="R56" s="68"/>
    </row>
    <row r="57" spans="1:18" x14ac:dyDescent="0.3">
      <c r="A57" s="78">
        <v>44502</v>
      </c>
      <c r="B57" s="13">
        <v>44516</v>
      </c>
      <c r="C57" s="16" t="s">
        <v>25</v>
      </c>
      <c r="D57" s="16" t="s">
        <v>21</v>
      </c>
      <c r="E57" s="16">
        <v>35</v>
      </c>
      <c r="F57" s="16">
        <v>51</v>
      </c>
      <c r="G57" s="16">
        <v>700</v>
      </c>
      <c r="H57" s="16">
        <v>1311974</v>
      </c>
      <c r="I57" s="16">
        <f t="shared" si="1"/>
        <v>0.37107047468348409</v>
      </c>
      <c r="J57" s="130">
        <f t="shared" si="2"/>
        <v>10829.899056687156</v>
      </c>
      <c r="K57" s="135"/>
      <c r="O57" s="2"/>
      <c r="P57" s="2"/>
      <c r="Q57" s="2"/>
    </row>
    <row r="58" spans="1:18" ht="17.25" thickBot="1" x14ac:dyDescent="0.35">
      <c r="A58" s="81">
        <v>44502</v>
      </c>
      <c r="B58" s="29">
        <v>44516</v>
      </c>
      <c r="C58" s="30" t="s">
        <v>25</v>
      </c>
      <c r="D58" s="30" t="s">
        <v>21</v>
      </c>
      <c r="E58" s="30">
        <v>50</v>
      </c>
      <c r="F58" s="30">
        <v>52</v>
      </c>
      <c r="G58" s="30">
        <v>510</v>
      </c>
      <c r="H58" s="30">
        <v>2738551</v>
      </c>
      <c r="I58" s="30">
        <f t="shared" si="1"/>
        <v>-1.3169836724309159E-2</v>
      </c>
      <c r="J58" s="133">
        <f t="shared" si="2"/>
        <v>23101.624093739363</v>
      </c>
      <c r="K58" s="135"/>
      <c r="O58" s="2"/>
      <c r="P58" s="2"/>
      <c r="Q58" s="2"/>
    </row>
    <row r="59" spans="1:18" x14ac:dyDescent="0.3">
      <c r="A59" s="79">
        <v>44502</v>
      </c>
      <c r="B59" s="25">
        <v>44516</v>
      </c>
      <c r="C59" s="26" t="s">
        <v>25</v>
      </c>
      <c r="D59" s="26" t="s">
        <v>22</v>
      </c>
      <c r="E59" s="26">
        <v>10</v>
      </c>
      <c r="F59" s="26">
        <v>53</v>
      </c>
      <c r="G59" s="26">
        <v>668</v>
      </c>
      <c r="H59" s="26">
        <v>487935</v>
      </c>
      <c r="I59" s="26">
        <f t="shared" si="1"/>
        <v>0.30635631697269794</v>
      </c>
      <c r="J59" s="131">
        <f t="shared" si="2"/>
        <v>3741.3366953092136</v>
      </c>
      <c r="K59" s="136"/>
      <c r="O59" s="2"/>
      <c r="P59" s="2"/>
      <c r="Q59" s="2"/>
    </row>
    <row r="60" spans="1:18" x14ac:dyDescent="0.3">
      <c r="A60" s="80">
        <v>44502</v>
      </c>
      <c r="B60" s="27">
        <v>44516</v>
      </c>
      <c r="C60" s="28" t="s">
        <v>25</v>
      </c>
      <c r="D60" s="28" t="s">
        <v>22</v>
      </c>
      <c r="E60" s="28">
        <v>20</v>
      </c>
      <c r="F60" s="28">
        <v>54</v>
      </c>
      <c r="G60" s="28">
        <v>300</v>
      </c>
      <c r="H60" s="28">
        <v>1466770</v>
      </c>
      <c r="I60" s="28">
        <f t="shared" si="1"/>
        <v>-0.43785649670134408</v>
      </c>
      <c r="J60" s="132">
        <f t="shared" si="2"/>
        <v>12161.487851989152</v>
      </c>
      <c r="K60" s="136"/>
      <c r="O60" s="2"/>
      <c r="P60" s="2"/>
      <c r="Q60" s="2"/>
    </row>
    <row r="61" spans="1:18" x14ac:dyDescent="0.3">
      <c r="A61" s="80">
        <v>44502</v>
      </c>
      <c r="B61" s="27">
        <v>44516</v>
      </c>
      <c r="C61" s="28" t="s">
        <v>25</v>
      </c>
      <c r="D61" s="28" t="s">
        <v>22</v>
      </c>
      <c r="E61" s="28">
        <v>35</v>
      </c>
      <c r="F61" s="28">
        <v>55</v>
      </c>
      <c r="G61" s="28">
        <v>318</v>
      </c>
      <c r="H61" s="28">
        <v>180081</v>
      </c>
      <c r="I61" s="28">
        <f t="shared" si="1"/>
        <v>-0.40145478298902681</v>
      </c>
      <c r="J61" s="132">
        <f t="shared" si="2"/>
        <v>1093.1097579923567</v>
      </c>
      <c r="K61" s="136"/>
      <c r="O61" s="2"/>
      <c r="P61" s="2"/>
      <c r="Q61" s="2"/>
    </row>
    <row r="62" spans="1:18" ht="17.25" thickBot="1" x14ac:dyDescent="0.35">
      <c r="A62" s="82">
        <v>44502</v>
      </c>
      <c r="B62" s="38">
        <v>44516</v>
      </c>
      <c r="C62" s="33" t="s">
        <v>25</v>
      </c>
      <c r="D62" s="33" t="s">
        <v>22</v>
      </c>
      <c r="E62" s="33">
        <v>50</v>
      </c>
      <c r="F62" s="33">
        <v>56</v>
      </c>
      <c r="G62" s="33">
        <v>304</v>
      </c>
      <c r="H62" s="33">
        <v>186646</v>
      </c>
      <c r="I62" s="33">
        <f t="shared" si="1"/>
        <v>-0.4297672269874957</v>
      </c>
      <c r="J62" s="134">
        <f t="shared" si="2"/>
        <v>1149.5833131304585</v>
      </c>
      <c r="K62" s="136"/>
      <c r="O62" s="2"/>
      <c r="P62" s="2"/>
      <c r="Q62" s="2"/>
    </row>
    <row r="63" spans="1:18" x14ac:dyDescent="0.3">
      <c r="A63" s="70">
        <v>44502</v>
      </c>
      <c r="B63" s="18">
        <v>44516</v>
      </c>
      <c r="C63" s="19" t="s">
        <v>25</v>
      </c>
      <c r="D63" s="19" t="s">
        <v>23</v>
      </c>
      <c r="E63" s="19">
        <v>10</v>
      </c>
      <c r="F63" s="19">
        <v>57</v>
      </c>
      <c r="G63" s="19">
        <v>611</v>
      </c>
      <c r="H63" s="19">
        <v>1239624</v>
      </c>
      <c r="I63" s="19">
        <f t="shared" si="1"/>
        <v>0.19108422355035981</v>
      </c>
      <c r="J63" s="129">
        <f t="shared" si="2"/>
        <v>10207.528650862076</v>
      </c>
      <c r="K63" s="135"/>
      <c r="O63" s="2"/>
      <c r="P63" s="2"/>
      <c r="Q63" s="2"/>
    </row>
    <row r="64" spans="1:18" x14ac:dyDescent="0.3">
      <c r="A64" s="78">
        <v>44502</v>
      </c>
      <c r="B64" s="13">
        <v>44516</v>
      </c>
      <c r="C64" s="16" t="s">
        <v>25</v>
      </c>
      <c r="D64" s="16" t="s">
        <v>23</v>
      </c>
      <c r="E64" s="16">
        <v>20</v>
      </c>
      <c r="F64" s="16">
        <v>58</v>
      </c>
      <c r="G64" s="16">
        <v>224</v>
      </c>
      <c r="H64" s="16">
        <v>2492833</v>
      </c>
      <c r="I64" s="16">
        <f t="shared" si="1"/>
        <v>-0.5915526212644614</v>
      </c>
      <c r="J64" s="130">
        <f t="shared" si="2"/>
        <v>20987.904516980172</v>
      </c>
      <c r="K64" s="135"/>
      <c r="O64" s="2"/>
      <c r="P64" s="2"/>
      <c r="Q64" s="2"/>
    </row>
    <row r="65" spans="1:17" x14ac:dyDescent="0.3">
      <c r="A65" s="78">
        <v>44502</v>
      </c>
      <c r="B65" s="13">
        <v>44516</v>
      </c>
      <c r="C65" s="16" t="s">
        <v>25</v>
      </c>
      <c r="D65" s="16" t="s">
        <v>23</v>
      </c>
      <c r="E65" s="16">
        <v>35</v>
      </c>
      <c r="F65" s="16">
        <v>59</v>
      </c>
      <c r="G65" s="16">
        <v>534</v>
      </c>
      <c r="H65" s="16">
        <v>3937810</v>
      </c>
      <c r="I65" s="16">
        <f t="shared" si="1"/>
        <v>3.5365781558780451E-2</v>
      </c>
      <c r="J65" s="130">
        <f t="shared" si="2"/>
        <v>33417.910348326521</v>
      </c>
      <c r="K65" s="135"/>
      <c r="O65" s="2"/>
      <c r="P65" s="2"/>
      <c r="Q65" s="2"/>
    </row>
    <row r="66" spans="1:17" ht="17.25" thickBot="1" x14ac:dyDescent="0.35">
      <c r="A66" s="78">
        <v>44502</v>
      </c>
      <c r="B66" s="13">
        <v>44516</v>
      </c>
      <c r="C66" s="16" t="s">
        <v>25</v>
      </c>
      <c r="D66" s="16" t="s">
        <v>23</v>
      </c>
      <c r="E66" s="16">
        <v>50</v>
      </c>
      <c r="F66" s="16">
        <v>60</v>
      </c>
      <c r="G66" s="16">
        <v>378</v>
      </c>
      <c r="H66" s="16">
        <v>3172253</v>
      </c>
      <c r="I66" s="16">
        <f t="shared" si="1"/>
        <v>-0.28011573728130257</v>
      </c>
      <c r="J66" s="130">
        <f t="shared" si="2"/>
        <v>26832.422846291531</v>
      </c>
      <c r="K66" s="137"/>
      <c r="O66" s="2"/>
      <c r="P66" s="2"/>
      <c r="Q66" s="2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P62"/>
  <sheetViews>
    <sheetView zoomScale="70" zoomScaleNormal="70" workbookViewId="0">
      <selection activeCell="F63" sqref="F63"/>
    </sheetView>
  </sheetViews>
  <sheetFormatPr defaultRowHeight="15" x14ac:dyDescent="0.25"/>
  <cols>
    <col min="1" max="3" width="11.140625" customWidth="1"/>
    <col min="9" max="9" width="2.7109375" customWidth="1"/>
  </cols>
  <sheetData>
    <row r="1" spans="1:16" ht="33.75" thickBot="1" x14ac:dyDescent="0.35">
      <c r="A1" s="88" t="s">
        <v>1</v>
      </c>
      <c r="B1" s="89" t="s">
        <v>5</v>
      </c>
      <c r="C1" s="89" t="s">
        <v>2</v>
      </c>
      <c r="D1" s="90" t="s">
        <v>8</v>
      </c>
      <c r="E1" s="91" t="s">
        <v>9</v>
      </c>
      <c r="F1" s="91" t="s">
        <v>43</v>
      </c>
      <c r="G1" s="91" t="s">
        <v>44</v>
      </c>
      <c r="H1" s="91" t="s">
        <v>45</v>
      </c>
      <c r="I1" s="92"/>
      <c r="J1" s="93" t="s">
        <v>37</v>
      </c>
      <c r="K1" s="93" t="s">
        <v>38</v>
      </c>
      <c r="L1" s="93" t="s">
        <v>39</v>
      </c>
      <c r="M1" s="93" t="s">
        <v>40</v>
      </c>
      <c r="N1" s="93" t="s">
        <v>41</v>
      </c>
      <c r="O1" s="94" t="s">
        <v>42</v>
      </c>
    </row>
    <row r="2" spans="1:16" ht="16.5" x14ac:dyDescent="0.3">
      <c r="A2" s="85" t="s">
        <v>18</v>
      </c>
      <c r="B2" s="86" t="s">
        <v>19</v>
      </c>
      <c r="C2" s="86">
        <v>10</v>
      </c>
      <c r="D2" s="87">
        <f>('STDs and Samples'!I7)</f>
        <v>0.27399923811730487</v>
      </c>
      <c r="E2" s="87">
        <f>('STDs and Samples'!J7)</f>
        <v>4547.9235799282706</v>
      </c>
      <c r="F2" s="87"/>
      <c r="G2" s="87"/>
      <c r="H2" s="87"/>
      <c r="I2" s="5"/>
      <c r="J2" s="5">
        <f>AVERAGE(D2:D6)</f>
        <v>0.56157277644461134</v>
      </c>
      <c r="K2" s="5">
        <f>STDEV(D2:D6)</f>
        <v>0.24520296513056469</v>
      </c>
      <c r="L2" s="5">
        <f>K2/SQRT(5)</f>
        <v>0.10965809966329064</v>
      </c>
      <c r="M2" s="5">
        <f>AVERAGE(E2:E6)</f>
        <v>3126.1783882850132</v>
      </c>
      <c r="N2" s="5">
        <f>STDEV(E2:E6)</f>
        <v>1329.2624834292094</v>
      </c>
      <c r="O2" s="8">
        <f>N2/SQRT(5)</f>
        <v>594.46425457757994</v>
      </c>
    </row>
    <row r="3" spans="1:16" ht="16.5" x14ac:dyDescent="0.3">
      <c r="A3" s="83" t="s">
        <v>18</v>
      </c>
      <c r="B3" s="16" t="s">
        <v>20</v>
      </c>
      <c r="C3" s="16">
        <v>10</v>
      </c>
      <c r="D3" s="12">
        <f>('STDs and Samples'!I11)</f>
        <v>0.50252110753351875</v>
      </c>
      <c r="E3" s="12">
        <f>('STDs and Samples'!J11)</f>
        <v>3507.4424128712872</v>
      </c>
      <c r="F3" s="12"/>
      <c r="G3" s="12"/>
      <c r="H3" s="12"/>
      <c r="I3" s="6"/>
      <c r="J3" s="6"/>
      <c r="K3" s="6"/>
      <c r="L3" s="6"/>
      <c r="M3" s="6"/>
      <c r="N3" s="6"/>
      <c r="O3" s="10"/>
      <c r="P3" s="74"/>
    </row>
    <row r="4" spans="1:16" ht="16.5" x14ac:dyDescent="0.3">
      <c r="A4" s="83" t="s">
        <v>18</v>
      </c>
      <c r="B4" s="16" t="s">
        <v>21</v>
      </c>
      <c r="C4" s="16">
        <v>10</v>
      </c>
      <c r="D4" s="12">
        <f>('STDs and Samples'!I15)</f>
        <v>0.9332747197959399</v>
      </c>
      <c r="E4" s="12">
        <f>('STDs and Samples'!J15)</f>
        <v>2842.6372701846285</v>
      </c>
      <c r="F4" s="12"/>
      <c r="G4" s="12"/>
      <c r="H4" s="12"/>
      <c r="I4" s="6"/>
      <c r="J4" s="6"/>
      <c r="K4" s="6"/>
      <c r="L4" s="6"/>
      <c r="M4" s="6"/>
      <c r="N4" s="6"/>
      <c r="O4" s="10"/>
    </row>
    <row r="5" spans="1:16" ht="16.5" x14ac:dyDescent="0.3">
      <c r="A5" s="83" t="s">
        <v>18</v>
      </c>
      <c r="B5" s="16" t="s">
        <v>22</v>
      </c>
      <c r="C5" s="16">
        <v>10</v>
      </c>
      <c r="D5" s="16">
        <f>('STDs and Samples'!I19)</f>
        <v>0.46005244153581537</v>
      </c>
      <c r="E5" s="16">
        <f>('STDs and Samples'!J19)</f>
        <v>3720.3730922823206</v>
      </c>
      <c r="F5" s="16"/>
      <c r="G5" s="16"/>
      <c r="H5" s="16"/>
      <c r="I5" s="6"/>
      <c r="J5" s="6"/>
      <c r="K5" s="6"/>
      <c r="L5" s="6"/>
      <c r="M5" s="6"/>
      <c r="N5" s="6"/>
      <c r="O5" s="10"/>
    </row>
    <row r="6" spans="1:16" ht="17.25" thickBot="1" x14ac:dyDescent="0.35">
      <c r="A6" s="104" t="s">
        <v>18</v>
      </c>
      <c r="B6" s="30" t="s">
        <v>23</v>
      </c>
      <c r="C6" s="30">
        <v>10</v>
      </c>
      <c r="D6" s="30">
        <f>('STDs and Samples'!I23)</f>
        <v>0.6380163752404775</v>
      </c>
      <c r="E6" s="30">
        <f>('STDs and Samples'!J23)</f>
        <v>1012.5155861585599</v>
      </c>
      <c r="F6" s="30"/>
      <c r="G6" s="30"/>
      <c r="H6" s="30"/>
      <c r="I6" s="105"/>
      <c r="J6" s="105"/>
      <c r="K6" s="105"/>
      <c r="L6" s="105"/>
      <c r="M6" s="105"/>
      <c r="N6" s="105"/>
      <c r="O6" s="106"/>
    </row>
    <row r="7" spans="1:16" ht="16.5" x14ac:dyDescent="0.3">
      <c r="A7" s="109" t="s">
        <v>18</v>
      </c>
      <c r="B7" s="110" t="s">
        <v>19</v>
      </c>
      <c r="C7" s="110">
        <v>20</v>
      </c>
      <c r="D7" s="111">
        <f>('STDs and Samples'!I8)</f>
        <v>-0.20124535757128181</v>
      </c>
      <c r="E7" s="111">
        <f>('STDs and Samples'!J8)</f>
        <v>5913.7233925622113</v>
      </c>
      <c r="F7" s="111"/>
      <c r="G7" s="111"/>
      <c r="H7" s="111"/>
      <c r="I7" s="111"/>
      <c r="J7" s="111">
        <f>AVERAGE(D7:D11)</f>
        <v>4.7904149615245271E-2</v>
      </c>
      <c r="K7" s="111">
        <f>STDEV(D7:D11)</f>
        <v>0.2395460390224623</v>
      </c>
      <c r="L7" s="111">
        <f>K7/SQRT(5)</f>
        <v>0.10712824539900859</v>
      </c>
      <c r="M7" s="111">
        <f>AVERAGE(E7:E11)</f>
        <v>8481.6985262851031</v>
      </c>
      <c r="N7" s="111">
        <f>STDEV(E7:E11)</f>
        <v>1979.1265181864712</v>
      </c>
      <c r="O7" s="112">
        <f>N7/SQRT(5)</f>
        <v>885.09228614748463</v>
      </c>
    </row>
    <row r="8" spans="1:16" ht="16.5" x14ac:dyDescent="0.3">
      <c r="A8" s="95" t="s">
        <v>18</v>
      </c>
      <c r="B8" s="96" t="s">
        <v>20</v>
      </c>
      <c r="C8" s="96">
        <v>20</v>
      </c>
      <c r="D8" s="97">
        <f>('STDs and Samples'!I12)</f>
        <v>0.13041470069649774</v>
      </c>
      <c r="E8" s="97">
        <f>('STDs and Samples'!J12)</f>
        <v>10879.766109106895</v>
      </c>
      <c r="F8" s="97"/>
      <c r="G8" s="97"/>
      <c r="H8" s="97"/>
      <c r="I8" s="97"/>
      <c r="J8" s="97"/>
      <c r="K8" s="97"/>
      <c r="L8" s="97"/>
      <c r="M8" s="97"/>
      <c r="N8" s="97"/>
      <c r="O8" s="98"/>
    </row>
    <row r="9" spans="1:16" ht="16.5" x14ac:dyDescent="0.3">
      <c r="A9" s="95" t="s">
        <v>18</v>
      </c>
      <c r="B9" s="96" t="s">
        <v>21</v>
      </c>
      <c r="C9" s="96">
        <v>20</v>
      </c>
      <c r="D9" s="97">
        <f>('STDs and Samples'!I16)</f>
        <v>0.28208850783115302</v>
      </c>
      <c r="E9" s="97">
        <f>('STDs and Samples'!J16)</f>
        <v>10020.903551285362</v>
      </c>
      <c r="F9" s="97"/>
      <c r="G9" s="97"/>
      <c r="H9" s="97"/>
      <c r="I9" s="97"/>
      <c r="J9" s="97"/>
      <c r="K9" s="97"/>
      <c r="L9" s="97"/>
      <c r="M9" s="97"/>
      <c r="N9" s="97"/>
      <c r="O9" s="98"/>
    </row>
    <row r="10" spans="1:16" ht="16.5" x14ac:dyDescent="0.3">
      <c r="A10" s="95" t="s">
        <v>18</v>
      </c>
      <c r="B10" s="96" t="s">
        <v>22</v>
      </c>
      <c r="C10" s="96">
        <v>20</v>
      </c>
      <c r="D10" s="96">
        <f>('STDs and Samples'!I20)</f>
        <v>0.24164215926191157</v>
      </c>
      <c r="E10" s="96">
        <f>('STDs and Samples'!J20)</f>
        <v>7707.8792069717674</v>
      </c>
      <c r="F10" s="96"/>
      <c r="G10" s="96"/>
      <c r="H10" s="96"/>
      <c r="I10" s="97"/>
      <c r="J10" s="97"/>
      <c r="K10" s="97"/>
      <c r="L10" s="97"/>
      <c r="M10" s="97"/>
      <c r="N10" s="97"/>
      <c r="O10" s="98"/>
    </row>
    <row r="11" spans="1:16" ht="17.25" thickBot="1" x14ac:dyDescent="0.35">
      <c r="A11" s="100" t="s">
        <v>18</v>
      </c>
      <c r="B11" s="101" t="s">
        <v>23</v>
      </c>
      <c r="C11" s="101">
        <v>20</v>
      </c>
      <c r="D11" s="101">
        <f>('STDs and Samples'!I24)</f>
        <v>-0.21337926214205416</v>
      </c>
      <c r="E11" s="101">
        <f>('STDs and Samples'!J24)</f>
        <v>7886.2203714992811</v>
      </c>
      <c r="F11" s="101"/>
      <c r="G11" s="101"/>
      <c r="H11" s="101"/>
      <c r="I11" s="102"/>
      <c r="J11" s="102"/>
      <c r="K11" s="102"/>
      <c r="L11" s="102"/>
      <c r="M11" s="102"/>
      <c r="N11" s="102"/>
      <c r="O11" s="103"/>
    </row>
    <row r="12" spans="1:16" ht="16.5" x14ac:dyDescent="0.3">
      <c r="A12" s="85" t="s">
        <v>18</v>
      </c>
      <c r="B12" s="86" t="s">
        <v>19</v>
      </c>
      <c r="C12" s="86">
        <v>35</v>
      </c>
      <c r="D12" s="87">
        <f>('STDs and Samples'!I9)</f>
        <v>-0.18708913557204732</v>
      </c>
      <c r="E12" s="87">
        <f>('STDs and Samples'!J9)</f>
        <v>7894.6333398046972</v>
      </c>
      <c r="F12" s="87"/>
      <c r="G12" s="87"/>
      <c r="H12" s="87"/>
      <c r="I12" s="5"/>
      <c r="J12" s="5">
        <f>AVERAGE(D12:D16)</f>
        <v>0.23961984183344959</v>
      </c>
      <c r="K12" s="5">
        <f>STDEV(D12:D16)</f>
        <v>0.45917072375510937</v>
      </c>
      <c r="L12" s="5">
        <f>K12/SQRT(5)</f>
        <v>0.20534739031884039</v>
      </c>
      <c r="M12" s="5">
        <f>AVERAGE(E12:E16)</f>
        <v>8143.2356930080659</v>
      </c>
      <c r="N12" s="5">
        <f>STDEV(E12:E16)</f>
        <v>4632.3952787374665</v>
      </c>
      <c r="O12" s="8">
        <f>N12/SQRT(5)</f>
        <v>2071.6701483812121</v>
      </c>
    </row>
    <row r="13" spans="1:16" ht="16.5" x14ac:dyDescent="0.3">
      <c r="A13" s="83" t="s">
        <v>18</v>
      </c>
      <c r="B13" s="16" t="s">
        <v>20</v>
      </c>
      <c r="C13" s="16">
        <v>35</v>
      </c>
      <c r="D13" s="12">
        <f>('STDs and Samples'!I13)</f>
        <v>0.42162841039503585</v>
      </c>
      <c r="E13" s="12">
        <f>('STDs and Samples'!J13)</f>
        <v>14526.676040683165</v>
      </c>
      <c r="F13" s="12"/>
      <c r="G13" s="12"/>
      <c r="H13" s="12"/>
      <c r="I13" s="6"/>
      <c r="J13" s="6"/>
      <c r="K13" s="6"/>
      <c r="L13" s="6"/>
      <c r="M13" s="6"/>
      <c r="N13" s="6"/>
      <c r="O13" s="10"/>
    </row>
    <row r="14" spans="1:16" ht="16.5" x14ac:dyDescent="0.3">
      <c r="A14" s="83" t="s">
        <v>18</v>
      </c>
      <c r="B14" s="16" t="s">
        <v>21</v>
      </c>
      <c r="C14" s="16">
        <v>35</v>
      </c>
      <c r="D14" s="12">
        <f>('STDs and Samples'!I17)</f>
        <v>0.70677516780818794</v>
      </c>
      <c r="E14" s="12">
        <f>('STDs and Samples'!J17)</f>
        <v>2541.3704235667155</v>
      </c>
      <c r="F14" s="12"/>
      <c r="G14" s="12"/>
      <c r="H14" s="12"/>
      <c r="I14" s="6"/>
      <c r="J14" s="6"/>
      <c r="K14" s="6"/>
      <c r="L14" s="6"/>
      <c r="M14" s="6"/>
      <c r="N14" s="6"/>
      <c r="O14" s="10"/>
    </row>
    <row r="15" spans="1:16" ht="16.5" x14ac:dyDescent="0.3">
      <c r="A15" s="83" t="s">
        <v>18</v>
      </c>
      <c r="B15" s="16" t="s">
        <v>22</v>
      </c>
      <c r="C15" s="16">
        <v>35</v>
      </c>
      <c r="D15" s="16">
        <f>('STDs and Samples'!I21)</f>
        <v>0.56723526524430512</v>
      </c>
      <c r="E15" s="16">
        <f>('STDs and Samples'!J21)</f>
        <v>5278.3550367274311</v>
      </c>
      <c r="F15" s="16"/>
      <c r="G15" s="16"/>
      <c r="H15" s="16"/>
      <c r="I15" s="6"/>
      <c r="J15" s="6"/>
      <c r="K15" s="6"/>
      <c r="L15" s="6"/>
      <c r="M15" s="6"/>
      <c r="N15" s="6"/>
      <c r="O15" s="10"/>
    </row>
    <row r="16" spans="1:16" ht="17.25" thickBot="1" x14ac:dyDescent="0.35">
      <c r="A16" s="104" t="s">
        <v>18</v>
      </c>
      <c r="B16" s="30" t="s">
        <v>23</v>
      </c>
      <c r="C16" s="30">
        <v>35</v>
      </c>
      <c r="D16" s="30">
        <f>('STDs and Samples'!I25)</f>
        <v>-0.3104504987082336</v>
      </c>
      <c r="E16" s="30">
        <f>('STDs and Samples'!J25)</f>
        <v>10475.14362425832</v>
      </c>
      <c r="F16" s="30"/>
      <c r="G16" s="30"/>
      <c r="H16" s="30"/>
      <c r="I16" s="105"/>
      <c r="J16" s="105"/>
      <c r="K16" s="105"/>
      <c r="L16" s="105"/>
      <c r="M16" s="105"/>
      <c r="N16" s="105"/>
      <c r="O16" s="106"/>
    </row>
    <row r="17" spans="1:15" ht="16.5" x14ac:dyDescent="0.3">
      <c r="A17" s="109" t="s">
        <v>18</v>
      </c>
      <c r="B17" s="110" t="s">
        <v>19</v>
      </c>
      <c r="C17" s="110">
        <v>50</v>
      </c>
      <c r="D17" s="111">
        <f>('STDs and Samples'!I10)</f>
        <v>-0.19517840528589558</v>
      </c>
      <c r="E17" s="111">
        <f>('STDs and Samples'!J10)</f>
        <v>8554.4750032355023</v>
      </c>
      <c r="F17" s="111"/>
      <c r="G17" s="111"/>
      <c r="H17" s="111"/>
      <c r="I17" s="111"/>
      <c r="J17" s="111">
        <f>AVERAGE(D17:D21)</f>
        <v>0.18906190612189783</v>
      </c>
      <c r="K17" s="111">
        <f>STDEV(D17:D21)</f>
        <v>0.28074058875137842</v>
      </c>
      <c r="L17" s="111">
        <f>K17/SQRT(5)</f>
        <v>0.12555100809827899</v>
      </c>
      <c r="M17" s="111">
        <f>AVERAGE(E17:E21)</f>
        <v>8543.0534095059338</v>
      </c>
      <c r="N17" s="111">
        <f>STDEV(E17:E21)</f>
        <v>351.8000562964865</v>
      </c>
      <c r="O17" s="112">
        <f>N17/SQRT(5)</f>
        <v>157.32976807343934</v>
      </c>
    </row>
    <row r="18" spans="1:15" ht="16.5" x14ac:dyDescent="0.3">
      <c r="A18" s="95" t="s">
        <v>18</v>
      </c>
      <c r="B18" s="96" t="s">
        <v>20</v>
      </c>
      <c r="C18" s="96">
        <v>50</v>
      </c>
      <c r="D18" s="97">
        <f>('STDs and Samples'!I14)</f>
        <v>0.39736060125349115</v>
      </c>
      <c r="E18" s="97">
        <f>('STDs and Samples'!J14)</f>
        <v>8092.1832550745385</v>
      </c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1:15" ht="16.5" x14ac:dyDescent="0.3">
      <c r="A19" s="95" t="s">
        <v>18</v>
      </c>
      <c r="B19" s="96" t="s">
        <v>21</v>
      </c>
      <c r="C19" s="96">
        <v>50</v>
      </c>
      <c r="D19" s="97">
        <f>('STDs and Samples'!I18)</f>
        <v>0.39938291868195308</v>
      </c>
      <c r="E19" s="97">
        <f>('STDs and Samples'!J18)</f>
        <v>8951.6135592234295</v>
      </c>
      <c r="F19" s="97"/>
      <c r="G19" s="97"/>
      <c r="H19" s="97"/>
      <c r="I19" s="97"/>
      <c r="J19" s="97"/>
      <c r="K19" s="97"/>
      <c r="L19" s="97"/>
      <c r="M19" s="97"/>
      <c r="N19" s="97"/>
      <c r="O19" s="98"/>
    </row>
    <row r="20" spans="1:15" ht="16.5" x14ac:dyDescent="0.3">
      <c r="A20" s="95" t="s">
        <v>18</v>
      </c>
      <c r="B20" s="96" t="s">
        <v>22</v>
      </c>
      <c r="C20" s="96">
        <v>50</v>
      </c>
      <c r="D20" s="140"/>
      <c r="E20" s="140"/>
      <c r="F20" s="96"/>
      <c r="G20" s="96"/>
      <c r="H20" s="96"/>
      <c r="I20" s="97"/>
      <c r="J20" s="97"/>
      <c r="K20" s="97"/>
      <c r="L20" s="97"/>
      <c r="M20" s="97"/>
      <c r="N20" s="97"/>
      <c r="O20" s="98"/>
    </row>
    <row r="21" spans="1:15" ht="17.25" thickBot="1" x14ac:dyDescent="0.35">
      <c r="A21" s="100" t="s">
        <v>18</v>
      </c>
      <c r="B21" s="101" t="s">
        <v>23</v>
      </c>
      <c r="C21" s="101">
        <v>50</v>
      </c>
      <c r="D21" s="101">
        <f>('STDs and Samples'!I26)</f>
        <v>0.15468250983804266</v>
      </c>
      <c r="E21" s="101">
        <f>('STDs and Samples'!J26)</f>
        <v>8573.9418204902668</v>
      </c>
      <c r="F21" s="101"/>
      <c r="G21" s="101"/>
      <c r="H21" s="101"/>
      <c r="I21" s="102"/>
      <c r="J21" s="102"/>
      <c r="K21" s="102"/>
      <c r="L21" s="102"/>
      <c r="M21" s="102"/>
      <c r="N21" s="102"/>
      <c r="O21" s="103"/>
    </row>
    <row r="22" spans="1:15" ht="16.5" x14ac:dyDescent="0.3">
      <c r="A22" s="108" t="s">
        <v>24</v>
      </c>
      <c r="B22" s="86" t="s">
        <v>19</v>
      </c>
      <c r="C22" s="86">
        <v>10</v>
      </c>
      <c r="D22" s="86">
        <f>('STDs and Samples'!I27)</f>
        <v>0.33466876097116693</v>
      </c>
      <c r="E22" s="86">
        <f>('STDs and Samples'!J27)</f>
        <v>5580.9724314270934</v>
      </c>
      <c r="F22" s="86"/>
      <c r="G22" s="86"/>
      <c r="H22" s="86"/>
      <c r="I22" s="5"/>
      <c r="J22" s="5">
        <f>AVERAGE(D22:D26)</f>
        <v>0.37511510954040833</v>
      </c>
      <c r="K22" s="5">
        <f>STDEV(D22:D26)</f>
        <v>9.8035474632575781E-2</v>
      </c>
      <c r="L22" s="5">
        <f>K22/SQRT(5)</f>
        <v>4.3842797096979129E-2</v>
      </c>
      <c r="M22" s="5">
        <f>AVERAGE(E22:E26)</f>
        <v>5915.0395317756356</v>
      </c>
      <c r="N22" s="5">
        <f>STDEV(E22:E26)</f>
        <v>1544.6751057529214</v>
      </c>
      <c r="O22" s="8">
        <f>N22/SQRT(5)</f>
        <v>690.79970792304164</v>
      </c>
    </row>
    <row r="23" spans="1:15" ht="16.5" x14ac:dyDescent="0.3">
      <c r="A23" s="84" t="s">
        <v>24</v>
      </c>
      <c r="B23" s="16" t="s">
        <v>20</v>
      </c>
      <c r="C23" s="16">
        <v>10</v>
      </c>
      <c r="D23" s="12">
        <f>('STDs and Samples'!I31)</f>
        <v>0.23355288954806341</v>
      </c>
      <c r="E23" s="12">
        <f>('STDs and Samples'!J31)</f>
        <v>7559.9468798263088</v>
      </c>
      <c r="F23" s="12"/>
      <c r="G23" s="12"/>
      <c r="H23" s="12"/>
      <c r="I23" s="6"/>
      <c r="J23" s="6"/>
      <c r="K23" s="6"/>
      <c r="L23" s="6"/>
      <c r="M23" s="6"/>
      <c r="N23" s="6"/>
      <c r="O23" s="10"/>
    </row>
    <row r="24" spans="1:15" ht="16.5" x14ac:dyDescent="0.3">
      <c r="A24" s="84" t="s">
        <v>24</v>
      </c>
      <c r="B24" s="16" t="s">
        <v>21</v>
      </c>
      <c r="C24" s="16">
        <v>10</v>
      </c>
      <c r="D24" s="12">
        <f>('STDs and Samples'!I35)</f>
        <v>0.47623098096351191</v>
      </c>
      <c r="E24" s="12">
        <f>('STDs and Samples'!J35)</f>
        <v>5235.4127690580626</v>
      </c>
      <c r="F24" s="12"/>
      <c r="G24" s="12"/>
      <c r="H24" s="12"/>
      <c r="I24" s="6"/>
      <c r="J24" s="6"/>
      <c r="K24" s="6"/>
      <c r="L24" s="6"/>
      <c r="M24" s="6"/>
      <c r="N24" s="6"/>
      <c r="O24" s="10"/>
    </row>
    <row r="25" spans="1:15" ht="16.5" x14ac:dyDescent="0.3">
      <c r="A25" s="84" t="s">
        <v>24</v>
      </c>
      <c r="B25" s="16" t="s">
        <v>22</v>
      </c>
      <c r="C25" s="16">
        <v>10</v>
      </c>
      <c r="D25" s="12">
        <f>('STDs and Samples'!I39)</f>
        <v>0.45600780667889107</v>
      </c>
      <c r="E25" s="12">
        <f>('STDs and Samples'!J39)</f>
        <v>7340.934432938865</v>
      </c>
      <c r="F25" s="12"/>
      <c r="G25" s="12"/>
      <c r="H25" s="12"/>
      <c r="I25" s="6"/>
      <c r="J25" s="6"/>
      <c r="K25" s="6"/>
      <c r="L25" s="6"/>
      <c r="M25" s="6"/>
      <c r="N25" s="6"/>
      <c r="O25" s="10"/>
    </row>
    <row r="26" spans="1:15" ht="17.25" thickBot="1" x14ac:dyDescent="0.35">
      <c r="A26" s="107" t="s">
        <v>24</v>
      </c>
      <c r="B26" s="30" t="s">
        <v>23</v>
      </c>
      <c r="C26" s="30">
        <v>10</v>
      </c>
      <c r="D26" s="39">
        <f>('STDs and Samples'!I43)</f>
        <v>0.37511510954040839</v>
      </c>
      <c r="E26" s="39">
        <f>('STDs and Samples'!J43)</f>
        <v>3857.9311456278474</v>
      </c>
      <c r="F26" s="39"/>
      <c r="G26" s="39"/>
      <c r="H26" s="39"/>
      <c r="I26" s="105"/>
      <c r="J26" s="105"/>
      <c r="K26" s="105"/>
      <c r="L26" s="105"/>
      <c r="M26" s="105"/>
      <c r="N26" s="105"/>
      <c r="O26" s="106"/>
    </row>
    <row r="27" spans="1:15" ht="16.5" x14ac:dyDescent="0.3">
      <c r="A27" s="113" t="s">
        <v>24</v>
      </c>
      <c r="B27" s="110" t="s">
        <v>19</v>
      </c>
      <c r="C27" s="110">
        <v>20</v>
      </c>
      <c r="D27" s="110">
        <f>('STDs and Samples'!I28)</f>
        <v>-9.6084851291254103E-2</v>
      </c>
      <c r="E27" s="110">
        <f>('STDs and Samples'!J28)</f>
        <v>10793.201998618742</v>
      </c>
      <c r="F27" s="110"/>
      <c r="G27" s="110"/>
      <c r="H27" s="110"/>
      <c r="I27" s="111"/>
      <c r="J27" s="111">
        <f>AVERAGE(D27:D31)</f>
        <v>2.8085438816317022E-2</v>
      </c>
      <c r="K27" s="111">
        <f>STDEV(D27:D31)</f>
        <v>0.1319598926185776</v>
      </c>
      <c r="L27" s="111">
        <f>K27/SQRT(5)</f>
        <v>5.9014258039742445E-2</v>
      </c>
      <c r="M27" s="111">
        <f>AVERAGE(E27:E31)</f>
        <v>10749.564671809214</v>
      </c>
      <c r="N27" s="111">
        <f>STDEV(E27:E31)</f>
        <v>2777.4013918736159</v>
      </c>
      <c r="O27" s="112">
        <f>N27/SQRT(5)</f>
        <v>1242.0916626063874</v>
      </c>
    </row>
    <row r="28" spans="1:15" ht="16.5" x14ac:dyDescent="0.3">
      <c r="A28" s="99" t="s">
        <v>24</v>
      </c>
      <c r="B28" s="96" t="s">
        <v>20</v>
      </c>
      <c r="C28" s="96">
        <v>20</v>
      </c>
      <c r="D28" s="97">
        <f>('STDs and Samples'!I32)</f>
        <v>-8.3950946720481645E-2</v>
      </c>
      <c r="E28" s="97">
        <f>('STDs and Samples'!J32)</f>
        <v>13084.041225079915</v>
      </c>
      <c r="F28" s="97"/>
      <c r="G28" s="97"/>
      <c r="H28" s="97"/>
      <c r="I28" s="97"/>
      <c r="J28" s="97"/>
      <c r="K28" s="97"/>
      <c r="L28" s="97"/>
      <c r="M28" s="97"/>
      <c r="N28" s="97"/>
      <c r="O28" s="98"/>
    </row>
    <row r="29" spans="1:15" ht="16.5" x14ac:dyDescent="0.3">
      <c r="A29" s="99" t="s">
        <v>24</v>
      </c>
      <c r="B29" s="96" t="s">
        <v>21</v>
      </c>
      <c r="C29" s="96">
        <v>20</v>
      </c>
      <c r="D29" s="97">
        <f>('STDs and Samples'!I36)</f>
        <v>-1.7214471581233459E-2</v>
      </c>
      <c r="E29" s="97">
        <f>('STDs and Samples'!J36)</f>
        <v>10047.501606500444</v>
      </c>
      <c r="F29" s="97"/>
      <c r="G29" s="97"/>
      <c r="H29" s="97"/>
      <c r="I29" s="97"/>
      <c r="J29" s="97"/>
      <c r="K29" s="97"/>
      <c r="L29" s="97"/>
      <c r="M29" s="97"/>
      <c r="N29" s="97"/>
      <c r="O29" s="98"/>
    </row>
    <row r="30" spans="1:15" ht="16.5" x14ac:dyDescent="0.3">
      <c r="A30" s="99" t="s">
        <v>24</v>
      </c>
      <c r="B30" s="96" t="s">
        <v>22</v>
      </c>
      <c r="C30" s="96">
        <v>20</v>
      </c>
      <c r="D30" s="97">
        <f>('STDs and Samples'!I40)</f>
        <v>0.1708610492657392</v>
      </c>
      <c r="E30" s="97">
        <f>('STDs and Samples'!J40)</f>
        <v>13339.853956640747</v>
      </c>
      <c r="F30" s="97"/>
      <c r="G30" s="97"/>
      <c r="H30" s="97"/>
      <c r="I30" s="97"/>
      <c r="J30" s="97"/>
      <c r="K30" s="97"/>
      <c r="L30" s="97"/>
      <c r="M30" s="97"/>
      <c r="N30" s="97"/>
      <c r="O30" s="98"/>
    </row>
    <row r="31" spans="1:15" ht="17.25" thickBot="1" x14ac:dyDescent="0.35">
      <c r="A31" s="114" t="s">
        <v>24</v>
      </c>
      <c r="B31" s="101" t="s">
        <v>23</v>
      </c>
      <c r="C31" s="101">
        <v>20</v>
      </c>
      <c r="D31" s="102">
        <f>('STDs and Samples'!I44)</f>
        <v>0.16681641440881512</v>
      </c>
      <c r="E31" s="102">
        <f>('STDs and Samples'!J44)</f>
        <v>6483.2245722062153</v>
      </c>
      <c r="F31" s="102"/>
      <c r="G31" s="102"/>
      <c r="H31" s="102"/>
      <c r="I31" s="102"/>
      <c r="J31" s="102"/>
      <c r="K31" s="102"/>
      <c r="L31" s="102"/>
      <c r="M31" s="102"/>
      <c r="N31" s="102"/>
      <c r="O31" s="103"/>
    </row>
    <row r="32" spans="1:15" ht="16.5" x14ac:dyDescent="0.3">
      <c r="A32" s="108" t="s">
        <v>24</v>
      </c>
      <c r="B32" s="86" t="s">
        <v>19</v>
      </c>
      <c r="C32" s="86">
        <v>35</v>
      </c>
      <c r="D32" s="86">
        <f>('STDs and Samples'!I29)</f>
        <v>0.1708610492657392</v>
      </c>
      <c r="E32" s="86">
        <f>('STDs and Samples'!J29)</f>
        <v>9137.8515590314873</v>
      </c>
      <c r="F32" s="86"/>
      <c r="G32" s="86"/>
      <c r="H32" s="86"/>
      <c r="I32" s="5"/>
      <c r="J32" s="5">
        <f>AVERAGE(D32:D36)</f>
        <v>5.5184492357708767E-2</v>
      </c>
      <c r="K32" s="5">
        <f>STDEV(D32:D36)</f>
        <v>0.25973752596160127</v>
      </c>
      <c r="L32" s="5">
        <f>K32/SQRT(5)</f>
        <v>0.11615815287155137</v>
      </c>
      <c r="M32" s="5">
        <f>AVERAGE(E32:E36)</f>
        <v>10669.849646561115</v>
      </c>
      <c r="N32" s="5">
        <f>STDEV(E32:E36)</f>
        <v>4626.9726893770385</v>
      </c>
      <c r="O32" s="8">
        <f>N32/SQRT(5)</f>
        <v>2069.2450926964152</v>
      </c>
    </row>
    <row r="33" spans="1:15" ht="16.5" x14ac:dyDescent="0.3">
      <c r="A33" s="84" t="s">
        <v>24</v>
      </c>
      <c r="B33" s="16" t="s">
        <v>20</v>
      </c>
      <c r="C33" s="16">
        <v>35</v>
      </c>
      <c r="D33" s="12">
        <f>('STDs and Samples'!I33)</f>
        <v>-0.36909770413363363</v>
      </c>
      <c r="E33" s="12">
        <f>('STDs and Samples'!J33)</f>
        <v>17828.972553769338</v>
      </c>
      <c r="F33" s="12"/>
      <c r="G33" s="12"/>
      <c r="H33" s="12"/>
      <c r="I33" s="6"/>
      <c r="J33" s="6"/>
      <c r="K33" s="6"/>
      <c r="L33" s="6"/>
      <c r="M33" s="6"/>
      <c r="N33" s="6"/>
      <c r="O33" s="10"/>
    </row>
    <row r="34" spans="1:15" ht="16.5" x14ac:dyDescent="0.3">
      <c r="A34" s="84" t="s">
        <v>24</v>
      </c>
      <c r="B34" s="16" t="s">
        <v>21</v>
      </c>
      <c r="C34" s="16">
        <v>35</v>
      </c>
      <c r="D34" s="12">
        <f>('STDs and Samples'!I37)</f>
        <v>4.952200355801506E-2</v>
      </c>
      <c r="E34" s="12">
        <f>('STDs and Samples'!J37)</f>
        <v>7998.4620999748258</v>
      </c>
      <c r="F34" s="12"/>
      <c r="G34" s="12"/>
      <c r="H34" s="12"/>
      <c r="I34" s="6"/>
      <c r="J34" s="6"/>
      <c r="K34" s="6"/>
      <c r="L34" s="6"/>
      <c r="M34" s="6"/>
      <c r="N34" s="6"/>
      <c r="O34" s="10"/>
    </row>
    <row r="35" spans="1:15" ht="16.5" x14ac:dyDescent="0.3">
      <c r="A35" s="84" t="s">
        <v>24</v>
      </c>
      <c r="B35" s="16" t="s">
        <v>22</v>
      </c>
      <c r="C35" s="16">
        <v>35</v>
      </c>
      <c r="D35" s="12">
        <f>('STDs and Samples'!I41)</f>
        <v>9.6035304412642519E-2</v>
      </c>
      <c r="E35" s="12">
        <f>('STDs and Samples'!J41)</f>
        <v>12395.958482971519</v>
      </c>
      <c r="F35" s="12"/>
      <c r="G35" s="12"/>
      <c r="H35" s="12"/>
      <c r="I35" s="6"/>
      <c r="J35" s="6"/>
      <c r="K35" s="6"/>
      <c r="L35" s="6"/>
      <c r="M35" s="6"/>
      <c r="N35" s="6"/>
      <c r="O35" s="10"/>
    </row>
    <row r="36" spans="1:15" ht="17.25" thickBot="1" x14ac:dyDescent="0.35">
      <c r="A36" s="107" t="s">
        <v>24</v>
      </c>
      <c r="B36" s="30" t="s">
        <v>23</v>
      </c>
      <c r="C36" s="30">
        <v>35</v>
      </c>
      <c r="D36" s="39">
        <f>('STDs and Samples'!I45)</f>
        <v>0.32860180868578071</v>
      </c>
      <c r="E36" s="39">
        <f>('STDs and Samples'!J45)</f>
        <v>5988.0035370584046</v>
      </c>
      <c r="F36" s="39"/>
      <c r="G36" s="39"/>
      <c r="H36" s="39"/>
      <c r="I36" s="105"/>
      <c r="J36" s="105"/>
      <c r="K36" s="105"/>
      <c r="L36" s="105"/>
      <c r="M36" s="105"/>
      <c r="N36" s="105"/>
      <c r="O36" s="106"/>
    </row>
    <row r="37" spans="1:15" ht="16.5" x14ac:dyDescent="0.3">
      <c r="A37" s="113" t="s">
        <v>24</v>
      </c>
      <c r="B37" s="110" t="s">
        <v>19</v>
      </c>
      <c r="C37" s="110">
        <v>50</v>
      </c>
      <c r="D37" s="110">
        <f>('STDs and Samples'!I30)</f>
        <v>-2.5303741295081617E-2</v>
      </c>
      <c r="E37" s="110">
        <f>('STDs and Samples'!J30)</f>
        <v>14450.056093140885</v>
      </c>
      <c r="F37" s="110"/>
      <c r="G37" s="110"/>
      <c r="H37" s="110"/>
      <c r="I37" s="111"/>
      <c r="J37" s="111">
        <f>AVERAGE(D37:D41)</f>
        <v>1.8782778645391508E-2</v>
      </c>
      <c r="K37" s="111">
        <f>STDEV(D37:D41)</f>
        <v>0.23151957692037606</v>
      </c>
      <c r="L37" s="111">
        <f>K37/SQRT(5)</f>
        <v>0.10353870242319045</v>
      </c>
      <c r="M37" s="111">
        <f>AVERAGE(E37:E41)</f>
        <v>13941.150651060296</v>
      </c>
      <c r="N37" s="111">
        <f>STDEV(E37:E41)</f>
        <v>2583.8110971650517</v>
      </c>
      <c r="O37" s="112">
        <f>N37/SQRT(5)</f>
        <v>1155.515450855874</v>
      </c>
    </row>
    <row r="38" spans="1:15" ht="16.5" x14ac:dyDescent="0.3">
      <c r="A38" s="99" t="s">
        <v>24</v>
      </c>
      <c r="B38" s="96" t="s">
        <v>20</v>
      </c>
      <c r="C38" s="96">
        <v>50</v>
      </c>
      <c r="D38" s="97">
        <f>('STDs and Samples'!I34)</f>
        <v>-0.31449513356515768</v>
      </c>
      <c r="E38" s="97">
        <f>('STDs and Samples'!J34)</f>
        <v>17118.308991822785</v>
      </c>
      <c r="F38" s="97"/>
      <c r="G38" s="97"/>
      <c r="H38" s="97"/>
      <c r="I38" s="97"/>
      <c r="J38" s="97"/>
      <c r="K38" s="97"/>
      <c r="L38" s="97"/>
      <c r="M38" s="97"/>
      <c r="N38" s="97"/>
      <c r="O38" s="98"/>
    </row>
    <row r="39" spans="1:15" ht="16.5" x14ac:dyDescent="0.3">
      <c r="A39" s="99" t="s">
        <v>24</v>
      </c>
      <c r="B39" s="96" t="s">
        <v>21</v>
      </c>
      <c r="C39" s="96">
        <v>50</v>
      </c>
      <c r="D39" s="97">
        <f>('STDs and Samples'!I38)</f>
        <v>0.11221384384033906</v>
      </c>
      <c r="E39" s="97">
        <f>('STDs and Samples'!J38)</f>
        <v>12660.502464869773</v>
      </c>
      <c r="F39" s="97"/>
      <c r="G39" s="97"/>
      <c r="H39" s="97"/>
      <c r="I39" s="97"/>
      <c r="J39" s="97"/>
      <c r="K39" s="97"/>
      <c r="L39" s="97"/>
      <c r="M39" s="97"/>
      <c r="N39" s="97"/>
      <c r="O39" s="98"/>
    </row>
    <row r="40" spans="1:15" ht="16.5" x14ac:dyDescent="0.3">
      <c r="A40" s="99" t="s">
        <v>24</v>
      </c>
      <c r="B40" s="96" t="s">
        <v>22</v>
      </c>
      <c r="C40" s="96">
        <v>50</v>
      </c>
      <c r="D40" s="97">
        <f>('STDs and Samples'!I42)</f>
        <v>0.32253485640039448</v>
      </c>
      <c r="E40" s="97">
        <f>('STDs and Samples'!J42)</f>
        <v>10307.606844384798</v>
      </c>
      <c r="F40" s="97"/>
      <c r="G40" s="97"/>
      <c r="H40" s="97"/>
      <c r="I40" s="97"/>
      <c r="J40" s="97"/>
      <c r="K40" s="97"/>
      <c r="L40" s="97"/>
      <c r="M40" s="97"/>
      <c r="N40" s="97"/>
      <c r="O40" s="98"/>
    </row>
    <row r="41" spans="1:15" ht="17.25" thickBot="1" x14ac:dyDescent="0.35">
      <c r="A41" s="114" t="s">
        <v>24</v>
      </c>
      <c r="B41" s="101" t="s">
        <v>23</v>
      </c>
      <c r="C41" s="101">
        <v>50</v>
      </c>
      <c r="D41" s="102">
        <f>('STDs and Samples'!I46)</f>
        <v>-1.0359321535367005E-3</v>
      </c>
      <c r="E41" s="102">
        <f>('STDs and Samples'!J46)</f>
        <v>15169.278861083238</v>
      </c>
      <c r="F41" s="102"/>
      <c r="G41" s="102"/>
      <c r="H41" s="102"/>
      <c r="I41" s="102"/>
      <c r="J41" s="102"/>
      <c r="K41" s="102"/>
      <c r="L41" s="102"/>
      <c r="M41" s="102"/>
      <c r="N41" s="102"/>
      <c r="O41" s="103"/>
    </row>
    <row r="42" spans="1:15" ht="16.5" x14ac:dyDescent="0.3">
      <c r="A42" s="85" t="s">
        <v>25</v>
      </c>
      <c r="B42" s="86" t="s">
        <v>19</v>
      </c>
      <c r="C42" s="86">
        <v>10</v>
      </c>
      <c r="D42" s="87">
        <f>('STDs and Samples'!I47)</f>
        <v>0.43982926725119453</v>
      </c>
      <c r="E42" s="87">
        <f>('STDs and Samples'!J47)</f>
        <v>3219.9907268857874</v>
      </c>
      <c r="F42" s="87"/>
      <c r="G42" s="87"/>
      <c r="H42" s="87"/>
      <c r="I42" s="5"/>
      <c r="J42" s="5">
        <f>AVERAGE(D42:D46)</f>
        <v>0.30231168211577375</v>
      </c>
      <c r="K42" s="5">
        <f>STDEV(D42:D46)</f>
        <v>9.2949633879522653E-2</v>
      </c>
      <c r="L42" s="5">
        <f>K42/SQRT(5)</f>
        <v>4.1568339967666026E-2</v>
      </c>
      <c r="M42" s="5">
        <f>AVERAGE(E42:E46)</f>
        <v>7178.0652160536047</v>
      </c>
      <c r="N42" s="5">
        <f>STDEV(E42:E46)</f>
        <v>3658.4390006093258</v>
      </c>
      <c r="O42" s="8">
        <f>N42/SQRT(5)</f>
        <v>1636.1036593797694</v>
      </c>
    </row>
    <row r="43" spans="1:15" ht="16.5" x14ac:dyDescent="0.3">
      <c r="A43" s="83" t="s">
        <v>25</v>
      </c>
      <c r="B43" s="16" t="s">
        <v>20</v>
      </c>
      <c r="C43" s="16">
        <v>10</v>
      </c>
      <c r="D43" s="12">
        <f>('STDs and Samples'!I51)</f>
        <v>0.24973142897575995</v>
      </c>
      <c r="E43" s="12">
        <f>('STDs and Samples'!J51)</f>
        <v>11278.220804308245</v>
      </c>
      <c r="F43" s="12"/>
      <c r="G43" s="12"/>
      <c r="H43" s="12"/>
      <c r="I43" s="6"/>
      <c r="J43" s="6"/>
      <c r="K43" s="6"/>
      <c r="L43" s="6"/>
      <c r="M43" s="6"/>
      <c r="N43" s="6"/>
      <c r="O43" s="10"/>
    </row>
    <row r="44" spans="1:15" ht="16.5" x14ac:dyDescent="0.3">
      <c r="A44" s="83" t="s">
        <v>25</v>
      </c>
      <c r="B44" s="16" t="s">
        <v>21</v>
      </c>
      <c r="C44" s="16">
        <v>10</v>
      </c>
      <c r="D44" s="12">
        <f>('STDs and Samples'!I55)</f>
        <v>0.32455717382885663</v>
      </c>
      <c r="E44" s="12">
        <f>('STDs and Samples'!J55)</f>
        <v>7443.2492029027007</v>
      </c>
      <c r="F44" s="12"/>
      <c r="G44" s="12"/>
      <c r="H44" s="12"/>
      <c r="I44" s="6"/>
      <c r="J44" s="6"/>
      <c r="K44" s="6"/>
      <c r="L44" s="6"/>
      <c r="M44" s="6"/>
      <c r="N44" s="6"/>
      <c r="O44" s="10"/>
    </row>
    <row r="45" spans="1:15" ht="16.5" x14ac:dyDescent="0.3">
      <c r="A45" s="83" t="s">
        <v>25</v>
      </c>
      <c r="B45" s="16" t="s">
        <v>22</v>
      </c>
      <c r="C45" s="16">
        <v>10</v>
      </c>
      <c r="D45" s="12">
        <f>('STDs and Samples'!I59)</f>
        <v>0.30635631697269794</v>
      </c>
      <c r="E45" s="12">
        <f>('STDs and Samples'!J59)</f>
        <v>3741.3366953092136</v>
      </c>
      <c r="F45" s="12"/>
      <c r="G45" s="12"/>
      <c r="H45" s="12"/>
      <c r="I45" s="6"/>
      <c r="J45" s="6"/>
      <c r="K45" s="6"/>
      <c r="L45" s="6"/>
      <c r="M45" s="6"/>
      <c r="N45" s="6"/>
      <c r="O45" s="10"/>
    </row>
    <row r="46" spans="1:15" ht="17.25" thickBot="1" x14ac:dyDescent="0.35">
      <c r="A46" s="104" t="s">
        <v>25</v>
      </c>
      <c r="B46" s="30" t="s">
        <v>23</v>
      </c>
      <c r="C46" s="30">
        <v>10</v>
      </c>
      <c r="D46" s="39">
        <f>('STDs and Samples'!I63)</f>
        <v>0.19108422355035981</v>
      </c>
      <c r="E46" s="39">
        <f>('STDs and Samples'!J63)</f>
        <v>10207.528650862076</v>
      </c>
      <c r="F46" s="39"/>
      <c r="G46" s="39"/>
      <c r="H46" s="39"/>
      <c r="I46" s="105"/>
      <c r="J46" s="105"/>
      <c r="K46" s="105"/>
      <c r="L46" s="105"/>
      <c r="M46" s="105"/>
      <c r="N46" s="105"/>
      <c r="O46" s="106"/>
    </row>
    <row r="47" spans="1:15" ht="16.5" x14ac:dyDescent="0.3">
      <c r="A47" s="109" t="s">
        <v>25</v>
      </c>
      <c r="B47" s="110" t="s">
        <v>19</v>
      </c>
      <c r="C47" s="110">
        <v>20</v>
      </c>
      <c r="D47" s="111">
        <f>('STDs and Samples'!I48)</f>
        <v>-0.48639211498443369</v>
      </c>
      <c r="E47" s="111">
        <f>('STDs and Samples'!J48)</f>
        <v>21062.881441059944</v>
      </c>
      <c r="F47" s="111"/>
      <c r="G47" s="111"/>
      <c r="H47" s="111"/>
      <c r="I47" s="111"/>
      <c r="J47" s="111">
        <f>AVERAGE(D47:D51)</f>
        <v>-0.42086903030226264</v>
      </c>
      <c r="K47" s="111">
        <f>STDEV(D47:D51)</f>
        <v>0.16901541349815372</v>
      </c>
      <c r="L47" s="111">
        <f>K47/SQRT(5)</f>
        <v>7.558599076542144E-2</v>
      </c>
      <c r="M47" s="111">
        <f>AVERAGE(E47:E51)</f>
        <v>19212.484331373478</v>
      </c>
      <c r="N47" s="111">
        <f>STDEV(E47:E51)</f>
        <v>4363.5579123857142</v>
      </c>
      <c r="O47" s="112">
        <f>N47/SQRT(5)</f>
        <v>1951.4424231703056</v>
      </c>
    </row>
    <row r="48" spans="1:15" ht="16.5" x14ac:dyDescent="0.3">
      <c r="A48" s="95" t="s">
        <v>25</v>
      </c>
      <c r="B48" s="96" t="s">
        <v>20</v>
      </c>
      <c r="C48" s="96">
        <v>20</v>
      </c>
      <c r="D48" s="97">
        <f>('STDs and Samples'!I52)</f>
        <v>-0.13855351728895759</v>
      </c>
      <c r="E48" s="97">
        <f>('STDs and Samples'!J52)</f>
        <v>18278.945927070017</v>
      </c>
      <c r="F48" s="97"/>
      <c r="G48" s="97"/>
      <c r="H48" s="97"/>
      <c r="I48" s="97"/>
      <c r="J48" s="97"/>
      <c r="K48" s="97"/>
      <c r="L48" s="97"/>
      <c r="M48" s="97"/>
      <c r="N48" s="97"/>
      <c r="O48" s="98"/>
    </row>
    <row r="49" spans="1:15" ht="16.5" x14ac:dyDescent="0.3">
      <c r="A49" s="95" t="s">
        <v>25</v>
      </c>
      <c r="B49" s="96" t="s">
        <v>21</v>
      </c>
      <c r="C49" s="96">
        <v>20</v>
      </c>
      <c r="D49" s="97">
        <f>('STDs and Samples'!I56)</f>
        <v>-0.44999040127211642</v>
      </c>
      <c r="E49" s="97">
        <f>('STDs and Samples'!J56)</f>
        <v>23571.201919768104</v>
      </c>
      <c r="F49" s="97"/>
      <c r="G49" s="97"/>
      <c r="H49" s="97"/>
      <c r="I49" s="97"/>
      <c r="J49" s="97"/>
      <c r="K49" s="97"/>
      <c r="L49" s="97"/>
      <c r="M49" s="97"/>
      <c r="N49" s="97"/>
      <c r="O49" s="98"/>
    </row>
    <row r="50" spans="1:15" ht="16.5" x14ac:dyDescent="0.3">
      <c r="A50" s="95" t="s">
        <v>25</v>
      </c>
      <c r="B50" s="96" t="s">
        <v>22</v>
      </c>
      <c r="C50" s="96">
        <v>20</v>
      </c>
      <c r="D50" s="97">
        <f>('STDs and Samples'!I60)</f>
        <v>-0.43785649670134408</v>
      </c>
      <c r="E50" s="97">
        <f>('STDs and Samples'!J60)</f>
        <v>12161.487851989152</v>
      </c>
      <c r="F50" s="97"/>
      <c r="G50" s="97"/>
      <c r="H50" s="97"/>
      <c r="I50" s="97"/>
      <c r="J50" s="97"/>
      <c r="K50" s="97"/>
      <c r="L50" s="97"/>
      <c r="M50" s="97"/>
      <c r="N50" s="97"/>
      <c r="O50" s="98"/>
    </row>
    <row r="51" spans="1:15" ht="17.25" thickBot="1" x14ac:dyDescent="0.35">
      <c r="A51" s="100" t="s">
        <v>25</v>
      </c>
      <c r="B51" s="101" t="s">
        <v>23</v>
      </c>
      <c r="C51" s="101">
        <v>20</v>
      </c>
      <c r="D51" s="102">
        <f>('STDs and Samples'!I64)</f>
        <v>-0.5915526212644614</v>
      </c>
      <c r="E51" s="102">
        <f>('STDs and Samples'!J64)</f>
        <v>20987.904516980172</v>
      </c>
      <c r="F51" s="102"/>
      <c r="G51" s="102"/>
      <c r="H51" s="102"/>
      <c r="I51" s="102"/>
      <c r="J51" s="102"/>
      <c r="K51" s="102"/>
      <c r="L51" s="102"/>
      <c r="M51" s="102"/>
      <c r="N51" s="102"/>
      <c r="O51" s="103"/>
    </row>
    <row r="52" spans="1:15" ht="16.5" x14ac:dyDescent="0.3">
      <c r="A52" s="85" t="s">
        <v>25</v>
      </c>
      <c r="B52" s="86" t="s">
        <v>19</v>
      </c>
      <c r="C52" s="86">
        <v>35</v>
      </c>
      <c r="D52" s="87">
        <f>('STDs and Samples'!I49)</f>
        <v>-0.3387629427067026</v>
      </c>
      <c r="E52" s="87">
        <f>('STDs and Samples'!J49)</f>
        <v>14540.327759191036</v>
      </c>
      <c r="F52" s="87"/>
      <c r="G52" s="87"/>
      <c r="H52" s="87"/>
      <c r="I52" s="5"/>
      <c r="J52" s="5">
        <f>AVERAGE(D52:D56)</f>
        <v>-3.0561766609083073E-2</v>
      </c>
      <c r="K52" s="5">
        <f>STDEV(D52:D56)</f>
        <v>0.33277293198978064</v>
      </c>
      <c r="L52" s="5">
        <f>K52/SQRT(5)</f>
        <v>0.14882057940021276</v>
      </c>
      <c r="M52" s="5">
        <f>AVERAGE(E52:E56)</f>
        <v>14859.012374954968</v>
      </c>
      <c r="N52" s="5">
        <f>STDEV(E52:E56)</f>
        <v>11731.008946445867</v>
      </c>
      <c r="O52" s="8">
        <f>N52/SQRT(5)</f>
        <v>5246.2666897822292</v>
      </c>
    </row>
    <row r="53" spans="1:15" ht="16.5" x14ac:dyDescent="0.3">
      <c r="A53" s="83" t="s">
        <v>25</v>
      </c>
      <c r="B53" s="16" t="s">
        <v>20</v>
      </c>
      <c r="C53" s="16">
        <v>35</v>
      </c>
      <c r="D53" s="12">
        <f>('STDs and Samples'!I53)</f>
        <v>0.1809726364080495</v>
      </c>
      <c r="E53" s="12">
        <f>('STDs and Samples'!J53)</f>
        <v>14413.814952577774</v>
      </c>
      <c r="F53" s="12"/>
      <c r="G53" s="12"/>
      <c r="H53" s="12"/>
      <c r="I53" s="6"/>
      <c r="J53" s="6"/>
      <c r="K53" s="6"/>
      <c r="L53" s="6"/>
      <c r="M53" s="6"/>
      <c r="N53" s="6"/>
      <c r="O53" s="10"/>
    </row>
    <row r="54" spans="1:15" ht="16.5" x14ac:dyDescent="0.3">
      <c r="A54" s="83" t="s">
        <v>25</v>
      </c>
      <c r="B54" s="16" t="s">
        <v>21</v>
      </c>
      <c r="C54" s="16">
        <v>35</v>
      </c>
      <c r="D54" s="12">
        <f>('STDs and Samples'!I57)</f>
        <v>0.37107047468348409</v>
      </c>
      <c r="E54" s="12">
        <f>('STDs and Samples'!J57)</f>
        <v>10829.899056687156</v>
      </c>
      <c r="F54" s="12"/>
      <c r="G54" s="12"/>
      <c r="H54" s="12"/>
      <c r="I54" s="6"/>
      <c r="J54" s="6"/>
      <c r="K54" s="6"/>
      <c r="L54" s="6"/>
      <c r="M54" s="6"/>
      <c r="N54" s="6"/>
      <c r="O54" s="10"/>
    </row>
    <row r="55" spans="1:15" ht="16.5" x14ac:dyDescent="0.3">
      <c r="A55" s="83" t="s">
        <v>25</v>
      </c>
      <c r="B55" s="16" t="s">
        <v>22</v>
      </c>
      <c r="C55" s="16">
        <v>35</v>
      </c>
      <c r="D55" s="12">
        <f>('STDs and Samples'!I61)</f>
        <v>-0.40145478298902681</v>
      </c>
      <c r="E55" s="12">
        <f>('STDs and Samples'!J61)</f>
        <v>1093.1097579923567</v>
      </c>
      <c r="F55" s="12"/>
      <c r="G55" s="12"/>
      <c r="H55" s="12"/>
      <c r="I55" s="6"/>
      <c r="J55" s="6"/>
      <c r="K55" s="6"/>
      <c r="L55" s="6"/>
      <c r="M55" s="6"/>
      <c r="N55" s="6"/>
      <c r="O55" s="10"/>
    </row>
    <row r="56" spans="1:15" ht="17.25" thickBot="1" x14ac:dyDescent="0.35">
      <c r="A56" s="104" t="s">
        <v>25</v>
      </c>
      <c r="B56" s="30" t="s">
        <v>23</v>
      </c>
      <c r="C56" s="30">
        <v>35</v>
      </c>
      <c r="D56" s="39">
        <f>('STDs and Samples'!I65)</f>
        <v>3.5365781558780451E-2</v>
      </c>
      <c r="E56" s="39">
        <f>('STDs and Samples'!J65)</f>
        <v>33417.910348326521</v>
      </c>
      <c r="F56" s="39"/>
      <c r="G56" s="39"/>
      <c r="H56" s="39"/>
      <c r="I56" s="105"/>
      <c r="J56" s="105"/>
      <c r="K56" s="105"/>
      <c r="L56" s="105"/>
      <c r="M56" s="105"/>
      <c r="N56" s="105"/>
      <c r="O56" s="106"/>
    </row>
    <row r="57" spans="1:15" ht="16.5" x14ac:dyDescent="0.3">
      <c r="A57" s="109" t="s">
        <v>25</v>
      </c>
      <c r="B57" s="110" t="s">
        <v>19</v>
      </c>
      <c r="C57" s="110">
        <v>50</v>
      </c>
      <c r="D57" s="111">
        <f>('STDs and Samples'!I50)</f>
        <v>-1.0445517252399652</v>
      </c>
      <c r="E57" s="111">
        <f>('STDs and Samples'!J50)</f>
        <v>29640.100479425579</v>
      </c>
      <c r="F57" s="111"/>
      <c r="G57" s="111"/>
      <c r="H57" s="111"/>
      <c r="I57" s="111"/>
      <c r="J57" s="111">
        <f>AVERAGE(D57:D61)</f>
        <v>-0.44190113155826816</v>
      </c>
      <c r="K57" s="111">
        <f>STDEV(D57:D61)</f>
        <v>0.43715748751694766</v>
      </c>
      <c r="L57" s="111">
        <f>K57/SQRT(5)</f>
        <v>0.19550277179218215</v>
      </c>
      <c r="M57" s="111">
        <f>AVERAGE(E57:E61)</f>
        <v>20180.932683146733</v>
      </c>
      <c r="N57" s="111">
        <f>STDEV(E57:E61)</f>
        <v>12967.149184870965</v>
      </c>
      <c r="O57" s="112">
        <f>N57/SQRT(5)</f>
        <v>5799.0854103504926</v>
      </c>
    </row>
    <row r="58" spans="1:15" ht="16.5" x14ac:dyDescent="0.3">
      <c r="A58" s="95" t="s">
        <v>25</v>
      </c>
      <c r="B58" s="96" t="s">
        <v>20</v>
      </c>
      <c r="C58" s="96">
        <v>50</v>
      </c>
      <c r="D58" s="141"/>
      <c r="E58" s="141"/>
      <c r="F58" s="97"/>
      <c r="G58" s="97"/>
      <c r="H58" s="97"/>
      <c r="I58" s="97"/>
      <c r="J58" s="97"/>
      <c r="K58" s="97"/>
      <c r="L58" s="97"/>
      <c r="M58" s="97"/>
      <c r="N58" s="97"/>
      <c r="O58" s="98"/>
    </row>
    <row r="59" spans="1:15" ht="16.5" x14ac:dyDescent="0.3">
      <c r="A59" s="95" t="s">
        <v>25</v>
      </c>
      <c r="B59" s="96" t="s">
        <v>21</v>
      </c>
      <c r="C59" s="96">
        <v>50</v>
      </c>
      <c r="D59" s="97">
        <f>('STDs and Samples'!I58)</f>
        <v>-1.3169836724309159E-2</v>
      </c>
      <c r="E59" s="97">
        <f>('STDs and Samples'!J58)</f>
        <v>23101.624093739363</v>
      </c>
      <c r="F59" s="97"/>
      <c r="G59" s="97"/>
      <c r="H59" s="97"/>
      <c r="I59" s="97"/>
      <c r="J59" s="97"/>
      <c r="K59" s="97"/>
      <c r="L59" s="97"/>
      <c r="M59" s="97"/>
      <c r="N59" s="97"/>
      <c r="O59" s="98"/>
    </row>
    <row r="60" spans="1:15" ht="16.5" x14ac:dyDescent="0.3">
      <c r="A60" s="95" t="s">
        <v>25</v>
      </c>
      <c r="B60" s="96" t="s">
        <v>22</v>
      </c>
      <c r="C60" s="96">
        <v>50</v>
      </c>
      <c r="D60" s="97">
        <f>('STDs and Samples'!I62)</f>
        <v>-0.4297672269874957</v>
      </c>
      <c r="E60" s="97">
        <f>('STDs and Samples'!J62)</f>
        <v>1149.5833131304585</v>
      </c>
      <c r="F60" s="97"/>
      <c r="G60" s="97"/>
      <c r="H60" s="97"/>
      <c r="I60" s="97"/>
      <c r="J60" s="97"/>
      <c r="K60" s="97"/>
      <c r="L60" s="97"/>
      <c r="M60" s="97"/>
      <c r="N60" s="97"/>
      <c r="O60" s="98"/>
    </row>
    <row r="61" spans="1:15" ht="17.25" thickBot="1" x14ac:dyDescent="0.35">
      <c r="A61" s="100" t="s">
        <v>25</v>
      </c>
      <c r="B61" s="101" t="s">
        <v>23</v>
      </c>
      <c r="C61" s="101">
        <v>50</v>
      </c>
      <c r="D61" s="102">
        <f>('STDs and Samples'!I66)</f>
        <v>-0.28011573728130257</v>
      </c>
      <c r="E61" s="102">
        <f>('STDs and Samples'!J66)</f>
        <v>26832.422846291531</v>
      </c>
      <c r="F61" s="102"/>
      <c r="G61" s="102"/>
      <c r="H61" s="102"/>
      <c r="I61" s="102"/>
      <c r="J61" s="102"/>
      <c r="K61" s="102"/>
      <c r="L61" s="102"/>
      <c r="M61" s="102"/>
      <c r="N61" s="102"/>
      <c r="O61" s="103"/>
    </row>
    <row r="62" spans="1:15" ht="16.5" x14ac:dyDescent="0.3">
      <c r="A62" s="72"/>
      <c r="B62" s="72"/>
      <c r="C62" s="72"/>
      <c r="D62" s="72"/>
      <c r="E62" s="72"/>
      <c r="F62" s="72"/>
      <c r="G62" s="72"/>
      <c r="H62" s="72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Stearns, Alice</cp:lastModifiedBy>
  <cp:lastPrinted>2021-07-14T18:10:05Z</cp:lastPrinted>
  <dcterms:created xsi:type="dcterms:W3CDTF">2014-08-19T17:33:21Z</dcterms:created>
  <dcterms:modified xsi:type="dcterms:W3CDTF">2021-11-17T20:36:36Z</dcterms:modified>
</cp:coreProperties>
</file>