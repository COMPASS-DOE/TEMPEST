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real/Data/gas_wells/TEMPEST_SGW_2021_Data/2021 Raw Data/"/>
    </mc:Choice>
  </mc:AlternateContent>
  <xr:revisionPtr revIDLastSave="0" documentId="13_ncr:1_{4EC22F86-1B22-45EA-8345-F2B5972B20CC}" xr6:coauthVersionLast="47" xr6:coauthVersionMax="47" xr10:uidLastSave="{00000000-0000-0000-0000-000000000000}"/>
  <bookViews>
    <workbookView xWindow="-19320" yWindow="690" windowWidth="19440" windowHeight="14880" xr2:uid="{00000000-000D-0000-FFFF-FFFF00000000}"/>
  </bookViews>
  <sheets>
    <sheet name="STDs and Samples" sheetId="1" r:id="rId1"/>
    <sheet name="Sheet1" sheetId="2" r:id="rId2"/>
  </sheets>
  <definedNames>
    <definedName name="_xlnm.Print_Titles" localSheetId="0">'STDs and Samples'!$2:$6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31" i="1" l="1"/>
  <c r="AB16" i="1"/>
  <c r="E42" i="2" l="1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Q42" i="1" l="1"/>
  <c r="Q43" i="1"/>
  <c r="Q41" i="1"/>
  <c r="P42" i="1"/>
  <c r="Q29" i="1"/>
  <c r="P29" i="1"/>
  <c r="Q8" i="1"/>
  <c r="J57" i="2" l="1"/>
  <c r="N57" i="2"/>
  <c r="O57" i="2" s="1"/>
  <c r="M57" i="2"/>
  <c r="K57" i="2"/>
  <c r="L57" i="2" s="1"/>
  <c r="N52" i="2"/>
  <c r="O52" i="2" s="1"/>
  <c r="M52" i="2"/>
  <c r="K52" i="2"/>
  <c r="L52" i="2" s="1"/>
  <c r="J52" i="2"/>
  <c r="N47" i="2"/>
  <c r="O47" i="2" s="1"/>
  <c r="M47" i="2"/>
  <c r="K47" i="2"/>
  <c r="L47" i="2" s="1"/>
  <c r="J47" i="2"/>
  <c r="N42" i="2"/>
  <c r="O42" i="2" s="1"/>
  <c r="M42" i="2"/>
  <c r="K42" i="2"/>
  <c r="L42" i="2" s="1"/>
  <c r="J42" i="2"/>
  <c r="N37" i="2"/>
  <c r="O37" i="2" s="1"/>
  <c r="M37" i="2"/>
  <c r="K37" i="2"/>
  <c r="L37" i="2" s="1"/>
  <c r="J37" i="2"/>
  <c r="N32" i="2"/>
  <c r="O32" i="2" s="1"/>
  <c r="M32" i="2"/>
  <c r="K32" i="2"/>
  <c r="L32" i="2" s="1"/>
  <c r="J32" i="2"/>
  <c r="N27" i="2"/>
  <c r="O27" i="2" s="1"/>
  <c r="M27" i="2"/>
  <c r="K27" i="2"/>
  <c r="L27" i="2" s="1"/>
  <c r="J27" i="2"/>
  <c r="N22" i="2"/>
  <c r="O22" i="2" s="1"/>
  <c r="M22" i="2"/>
  <c r="K22" i="2"/>
  <c r="L22" i="2" s="1"/>
  <c r="J22" i="2"/>
  <c r="N17" i="2"/>
  <c r="O17" i="2" s="1"/>
  <c r="M17" i="2"/>
  <c r="K17" i="2"/>
  <c r="L17" i="2" s="1"/>
  <c r="J17" i="2"/>
  <c r="N12" i="2"/>
  <c r="O12" i="2" s="1"/>
  <c r="M12" i="2"/>
  <c r="K12" i="2"/>
  <c r="L12" i="2" s="1"/>
  <c r="J12" i="2"/>
  <c r="N7" i="2"/>
  <c r="O7" i="2" s="1"/>
  <c r="M7" i="2"/>
  <c r="K7" i="2"/>
  <c r="L7" i="2" s="1"/>
  <c r="J7" i="2"/>
  <c r="N2" i="2"/>
  <c r="O2" i="2" s="1"/>
  <c r="M2" i="2"/>
  <c r="K2" i="2"/>
  <c r="L2" i="2" s="1"/>
  <c r="J2" i="2"/>
  <c r="P43" i="1"/>
  <c r="P41" i="1"/>
  <c r="P38" i="1"/>
  <c r="P14" i="1"/>
  <c r="Q14" i="1"/>
  <c r="Q11" i="1"/>
  <c r="Q38" i="1" l="1"/>
  <c r="Q35" i="1"/>
  <c r="P35" i="1"/>
  <c r="Q32" i="1"/>
  <c r="P32" i="1"/>
  <c r="Q26" i="1"/>
  <c r="P26" i="1"/>
  <c r="Q20" i="1"/>
  <c r="P20" i="1"/>
  <c r="Q17" i="1"/>
  <c r="P17" i="1"/>
  <c r="P11" i="1"/>
  <c r="P8" i="1"/>
  <c r="AB14" i="1" l="1"/>
  <c r="AB30" i="1"/>
  <c r="AB29" i="1"/>
  <c r="AB15" i="1"/>
  <c r="I7" i="1" l="1"/>
  <c r="I22" i="1"/>
  <c r="I25" i="1"/>
  <c r="I19" i="1"/>
  <c r="I48" i="1"/>
  <c r="I58" i="1"/>
  <c r="I14" i="1"/>
  <c r="I24" i="1"/>
  <c r="I37" i="1"/>
  <c r="I39" i="1"/>
  <c r="I65" i="1"/>
  <c r="I35" i="1"/>
  <c r="I17" i="1"/>
  <c r="I20" i="1"/>
  <c r="I56" i="1"/>
  <c r="I53" i="1"/>
  <c r="I55" i="1"/>
  <c r="I62" i="1"/>
  <c r="I42" i="1"/>
  <c r="I29" i="1"/>
  <c r="I49" i="1"/>
  <c r="I27" i="1"/>
  <c r="I64" i="1"/>
  <c r="I12" i="1"/>
  <c r="I40" i="1"/>
  <c r="I45" i="1"/>
  <c r="I47" i="1"/>
  <c r="I30" i="1"/>
  <c r="I23" i="1"/>
  <c r="I11" i="1"/>
  <c r="I31" i="1"/>
  <c r="I10" i="1"/>
  <c r="I43" i="1"/>
  <c r="I41" i="1"/>
  <c r="I28" i="1"/>
  <c r="I38" i="1"/>
  <c r="I9" i="1"/>
  <c r="I61" i="1"/>
  <c r="I66" i="1"/>
  <c r="I32" i="1"/>
  <c r="I60" i="1"/>
  <c r="I26" i="1"/>
  <c r="I51" i="1"/>
  <c r="I57" i="1"/>
  <c r="I36" i="1"/>
  <c r="I46" i="1"/>
  <c r="I33" i="1"/>
  <c r="I50" i="1"/>
  <c r="I59" i="1"/>
  <c r="I18" i="1"/>
  <c r="I44" i="1"/>
  <c r="I54" i="1"/>
  <c r="I13" i="1"/>
  <c r="I15" i="1"/>
  <c r="I16" i="1"/>
  <c r="I34" i="1"/>
  <c r="I52" i="1"/>
  <c r="I21" i="1"/>
  <c r="I63" i="1"/>
  <c r="I8" i="1"/>
  <c r="J65" i="1"/>
  <c r="J63" i="1"/>
  <c r="J62" i="1"/>
  <c r="J54" i="1"/>
  <c r="J46" i="1"/>
  <c r="J38" i="1"/>
  <c r="J30" i="1"/>
  <c r="J22" i="1"/>
  <c r="J14" i="1"/>
  <c r="J53" i="1"/>
  <c r="J45" i="1"/>
  <c r="J37" i="1"/>
  <c r="J29" i="1"/>
  <c r="J21" i="1"/>
  <c r="J13" i="1"/>
  <c r="J60" i="1"/>
  <c r="J52" i="1"/>
  <c r="J44" i="1"/>
  <c r="J36" i="1"/>
  <c r="J28" i="1"/>
  <c r="J20" i="1"/>
  <c r="J12" i="1"/>
  <c r="J51" i="1"/>
  <c r="J43" i="1"/>
  <c r="J35" i="1"/>
  <c r="J27" i="1"/>
  <c r="J19" i="1"/>
  <c r="J11" i="1"/>
  <c r="J66" i="1"/>
  <c r="J58" i="1"/>
  <c r="J50" i="1"/>
  <c r="J42" i="1"/>
  <c r="J34" i="1"/>
  <c r="J26" i="1"/>
  <c r="J18" i="1"/>
  <c r="J10" i="1"/>
  <c r="J57" i="1"/>
  <c r="J49" i="1"/>
  <c r="J41" i="1"/>
  <c r="J33" i="1"/>
  <c r="J25" i="1"/>
  <c r="J17" i="1"/>
  <c r="J9" i="1"/>
  <c r="J64" i="1"/>
  <c r="J56" i="1"/>
  <c r="J48" i="1"/>
  <c r="J40" i="1"/>
  <c r="J32" i="1"/>
  <c r="J24" i="1"/>
  <c r="J16" i="1"/>
  <c r="J8" i="1"/>
  <c r="J55" i="1"/>
  <c r="J47" i="1"/>
  <c r="J39" i="1"/>
  <c r="J31" i="1"/>
  <c r="J23" i="1"/>
  <c r="J15" i="1"/>
  <c r="J7" i="1"/>
  <c r="J61" i="1"/>
  <c r="J59" i="1"/>
</calcChain>
</file>

<file path=xl/sharedStrings.xml><?xml version="1.0" encoding="utf-8"?>
<sst xmlns="http://schemas.openxmlformats.org/spreadsheetml/2006/main" count="321" uniqueCount="51">
  <si>
    <t>Peak Area</t>
  </si>
  <si>
    <t>Plot</t>
  </si>
  <si>
    <t>Depth</t>
  </si>
  <si>
    <t>Run Date</t>
  </si>
  <si>
    <t>Collection Date</t>
  </si>
  <si>
    <t>Grid Square</t>
  </si>
  <si>
    <t>CH4 Peak Area</t>
  </si>
  <si>
    <t>CO2 Peak Area</t>
  </si>
  <si>
    <t>CH4 (ppm)</t>
  </si>
  <si>
    <t>CO2 (ppm)</t>
  </si>
  <si>
    <t>Project: TEMPEST</t>
  </si>
  <si>
    <t>Measurement: Soil Air [CH4] and [CO2]</t>
  </si>
  <si>
    <t>CH4 Standard Curve</t>
  </si>
  <si>
    <t>Tank</t>
  </si>
  <si>
    <t>ppm</t>
  </si>
  <si>
    <t>slope</t>
  </si>
  <si>
    <t>intercept</t>
  </si>
  <si>
    <t>r2</t>
  </si>
  <si>
    <t>Control</t>
  </si>
  <si>
    <t>C3</t>
  </si>
  <si>
    <t>C6</t>
  </si>
  <si>
    <t>F4</t>
  </si>
  <si>
    <t>H3</t>
  </si>
  <si>
    <t>H6</t>
  </si>
  <si>
    <t>Freshwater</t>
  </si>
  <si>
    <t>Seawater</t>
  </si>
  <si>
    <t>Ave ppm</t>
  </si>
  <si>
    <t>Ave Peak Area</t>
  </si>
  <si>
    <t>TRI-STD1</t>
  </si>
  <si>
    <t>TRI-STD2</t>
  </si>
  <si>
    <t>TRI-STD3</t>
  </si>
  <si>
    <t>TRI-STD4</t>
  </si>
  <si>
    <t>TRI-STD5</t>
  </si>
  <si>
    <t xml:space="preserve">CO2 Standard Curve </t>
  </si>
  <si>
    <t>10000 ppm</t>
  </si>
  <si>
    <t>Sample ID</t>
  </si>
  <si>
    <t>2500 ppm</t>
  </si>
  <si>
    <t>Ave CH4 (ppm)</t>
  </si>
  <si>
    <t>CH4 SD</t>
  </si>
  <si>
    <t>CH4 SE</t>
  </si>
  <si>
    <t>Ave CO2 (ppm)</t>
  </si>
  <si>
    <t>CO2 SD</t>
  </si>
  <si>
    <t>CO2 SE</t>
  </si>
  <si>
    <t>Temp</t>
  </si>
  <si>
    <t>VWC</t>
  </si>
  <si>
    <t>EC</t>
  </si>
  <si>
    <t>5000 ppm</t>
  </si>
  <si>
    <t>Analyst: AES</t>
  </si>
  <si>
    <t>Notes</t>
  </si>
  <si>
    <t>There was about 30 mL of water in this well that was extracted before the sample was taken</t>
  </si>
  <si>
    <t>There was about 40 mL of water in this well that was extracted before the sample was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</si>
</sst>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14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" fillId="0" borderId="20" xfId="0" applyFont="1" applyBorder="1"/>
    <xf numFmtId="0" fontId="5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9" xfId="0" applyFont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14" fontId="1" fillId="0" borderId="5" xfId="0" applyNumberFormat="1" applyFont="1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9" xfId="0" applyFont="1" applyFill="1" applyBorder="1"/>
    <xf numFmtId="0" fontId="4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9" xfId="0" applyFont="1" applyBorder="1" applyAlignment="1">
      <alignment horizontal="center"/>
    </xf>
    <xf numFmtId="0" fontId="1" fillId="0" borderId="21" xfId="0" applyFont="1" applyBorder="1"/>
    <xf numFmtId="0" fontId="4" fillId="0" borderId="1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 applyAlignment="1">
      <alignment horizontal="center" vertical="center"/>
    </xf>
    <xf numFmtId="0" fontId="0" fillId="0" borderId="18" xfId="0" applyBorder="1"/>
    <xf numFmtId="0" fontId="1" fillId="0" borderId="5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 wrapText="1"/>
    </xf>
    <xf numFmtId="0" fontId="0" fillId="0" borderId="31" xfId="0" applyBorder="1"/>
    <xf numFmtId="0" fontId="0" fillId="0" borderId="27" xfId="0" applyBorder="1"/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657874323781504"/>
                  <c:y val="-0.13649564236909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Samples'!$Q$8:$Q$22</c:f>
              <c:numCache>
                <c:formatCode>General</c:formatCode>
                <c:ptCount val="15"/>
                <c:pt idx="0">
                  <c:v>4365.666666666667</c:v>
                </c:pt>
                <c:pt idx="3">
                  <c:v>3333.6666666666665</c:v>
                </c:pt>
                <c:pt idx="6">
                  <c:v>2298</c:v>
                </c:pt>
                <c:pt idx="9">
                  <c:v>1488.3333333333333</c:v>
                </c:pt>
                <c:pt idx="12">
                  <c:v>757.66666666666663</c:v>
                </c:pt>
              </c:numCache>
            </c:numRef>
          </c:xVal>
          <c:yVal>
            <c:numRef>
              <c:f>'STDs and Samples'!$P$8:$P$22</c:f>
              <c:numCache>
                <c:formatCode>General</c:formatCode>
                <c:ptCount val="15"/>
                <c:pt idx="0">
                  <c:v>7.5</c:v>
                </c:pt>
                <c:pt idx="3">
                  <c:v>5</c:v>
                </c:pt>
                <c:pt idx="6">
                  <c:v>3</c:v>
                </c:pt>
                <c:pt idx="9">
                  <c:v>1.5</c:v>
                </c:pt>
                <c:pt idx="1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1-43C7-86A1-6EE559DE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634329594121627"/>
                  <c:y val="-1.3173849289794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Samples'!$Q$26:$Q$43</c:f>
              <c:numCache>
                <c:formatCode>General</c:formatCode>
                <c:ptCount val="18"/>
                <c:pt idx="0">
                  <c:v>210475.33333333334</c:v>
                </c:pt>
                <c:pt idx="3">
                  <c:v>152762.66666666666</c:v>
                </c:pt>
                <c:pt idx="6">
                  <c:v>100022.33333333333</c:v>
                </c:pt>
                <c:pt idx="9">
                  <c:v>64520.666666666664</c:v>
                </c:pt>
                <c:pt idx="12">
                  <c:v>27514.333333333332</c:v>
                </c:pt>
                <c:pt idx="15">
                  <c:v>259588</c:v>
                </c:pt>
                <c:pt idx="16">
                  <c:v>501432</c:v>
                </c:pt>
                <c:pt idx="17">
                  <c:v>1026534</c:v>
                </c:pt>
              </c:numCache>
            </c:numRef>
          </c:xVal>
          <c:yVal>
            <c:numRef>
              <c:f>'STDs and Samples'!$P$26:$P$43</c:f>
              <c:numCache>
                <c:formatCode>General</c:formatCode>
                <c:ptCount val="18"/>
                <c:pt idx="0">
                  <c:v>1375</c:v>
                </c:pt>
                <c:pt idx="3">
                  <c:v>916.70000000000016</c:v>
                </c:pt>
                <c:pt idx="6">
                  <c:v>550</c:v>
                </c:pt>
                <c:pt idx="9">
                  <c:v>275</c:v>
                </c:pt>
                <c:pt idx="12">
                  <c:v>91.7</c:v>
                </c:pt>
                <c:pt idx="15">
                  <c:v>2500</c:v>
                </c:pt>
                <c:pt idx="16">
                  <c:v>5000</c:v>
                </c:pt>
                <c:pt idx="17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6-4B92-94DD-AA3853C4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0.15616324933621376</c:v>
                  </c:pt>
                  <c:pt idx="1">
                    <c:v>0.13467631801402674</c:v>
                  </c:pt>
                  <c:pt idx="2">
                    <c:v>0.27033128476742391</c:v>
                  </c:pt>
                  <c:pt idx="3">
                    <c:v>0.31339302396700153</c:v>
                  </c:pt>
                </c:numCache>
              </c:numRef>
            </c:plus>
            <c:min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0.15616324933621376</c:v>
                  </c:pt>
                  <c:pt idx="1">
                    <c:v>0.13467631801402674</c:v>
                  </c:pt>
                  <c:pt idx="2">
                    <c:v>0.27033128476742391</c:v>
                  </c:pt>
                  <c:pt idx="3">
                    <c:v>0.31339302396700153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(Sheet1!$J$2,Sheet1!$J$7,Sheet1!$J$12,Sheet1!$J$17)</c:f>
              <c:numCache>
                <c:formatCode>General</c:formatCode>
                <c:ptCount val="4"/>
                <c:pt idx="0">
                  <c:v>0.95522564770943297</c:v>
                </c:pt>
                <c:pt idx="1">
                  <c:v>0.18296641117160412</c:v>
                </c:pt>
                <c:pt idx="2">
                  <c:v>0.49404767463095123</c:v>
                </c:pt>
                <c:pt idx="3">
                  <c:v>0.53759905151525977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0-47EF-A229-EB6F04D6360F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6.2556781077492199E-2</c:v>
                  </c:pt>
                  <c:pt idx="1">
                    <c:v>0.1123885336216968</c:v>
                  </c:pt>
                  <c:pt idx="2">
                    <c:v>7.6993594648359309E-2</c:v>
                  </c:pt>
                  <c:pt idx="3">
                    <c:v>7.3035291581077952E-2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6.2556781077492199E-2</c:v>
                  </c:pt>
                  <c:pt idx="1">
                    <c:v>0.1123885336216968</c:v>
                  </c:pt>
                  <c:pt idx="2">
                    <c:v>7.6993594648359309E-2</c:v>
                  </c:pt>
                  <c:pt idx="3">
                    <c:v>7.3035291581077952E-2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7.9361454169325052E-2</c:v>
                  </c:pt>
                  <c:pt idx="1">
                    <c:v>3.8034972153700983E-2</c:v>
                  </c:pt>
                  <c:pt idx="2">
                    <c:v>7.6162813406056018E-2</c:v>
                  </c:pt>
                  <c:pt idx="3">
                    <c:v>5.4232598778555234E-2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7.9361454169325052E-2</c:v>
                  </c:pt>
                  <c:pt idx="1">
                    <c:v>3.8034972153700983E-2</c:v>
                  </c:pt>
                  <c:pt idx="2">
                    <c:v>7.6162813406056018E-2</c:v>
                  </c:pt>
                  <c:pt idx="3">
                    <c:v>5.4232598778555234E-2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(Sheet1!$J$22,Sheet1!$J$27,Sheet1!$J$32,Sheet1!$J$37)</c:f>
              <c:numCache>
                <c:formatCode>General</c:formatCode>
                <c:ptCount val="4"/>
                <c:pt idx="0">
                  <c:v>0.5605412946953866</c:v>
                </c:pt>
                <c:pt idx="1">
                  <c:v>0.12813833848689421</c:v>
                </c:pt>
                <c:pt idx="2">
                  <c:v>8.069844580934378E-2</c:v>
                </c:pt>
                <c:pt idx="3">
                  <c:v>-0.11178308595612715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0-47EF-A229-EB6F04D6360F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7.9361454169325052E-2</c:v>
                  </c:pt>
                  <c:pt idx="1">
                    <c:v>3.8034972153700983E-2</c:v>
                  </c:pt>
                  <c:pt idx="2">
                    <c:v>7.6162813406056018E-2</c:v>
                  </c:pt>
                  <c:pt idx="3">
                    <c:v>5.4232598778555234E-2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7.9361454169325052E-2</c:v>
                  </c:pt>
                  <c:pt idx="1">
                    <c:v>3.8034972153700983E-2</c:v>
                  </c:pt>
                  <c:pt idx="2">
                    <c:v>7.6162813406056018E-2</c:v>
                  </c:pt>
                  <c:pt idx="3">
                    <c:v>5.4232598778555234E-2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6.2556781077492199E-2</c:v>
                  </c:pt>
                  <c:pt idx="1">
                    <c:v>0.1123885336216968</c:v>
                  </c:pt>
                  <c:pt idx="2">
                    <c:v>7.6993594648359309E-2</c:v>
                  </c:pt>
                  <c:pt idx="3">
                    <c:v>7.3035291581077952E-2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6.2556781077492199E-2</c:v>
                  </c:pt>
                  <c:pt idx="1">
                    <c:v>0.1123885336216968</c:v>
                  </c:pt>
                  <c:pt idx="2">
                    <c:v>7.6993594648359309E-2</c:v>
                  </c:pt>
                  <c:pt idx="3">
                    <c:v>7.3035291581077952E-2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(Sheet1!$J$42,Sheet1!$J$47,Sheet1!$J$52,Sheet1!$J$57)</c:f>
              <c:numCache>
                <c:formatCode>General</c:formatCode>
                <c:ptCount val="4"/>
                <c:pt idx="0">
                  <c:v>0.60214841368307415</c:v>
                </c:pt>
                <c:pt idx="1">
                  <c:v>-0.10983882805950626</c:v>
                </c:pt>
                <c:pt idx="2">
                  <c:v>-0.19383076919352996</c:v>
                </c:pt>
                <c:pt idx="3">
                  <c:v>-0.24671458398161894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0-47EF-A229-EB6F04D6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(Sheet1!$D$2,Sheet1!$D$7,Sheet1!$D$12,Sheet1!$D$17)</c:f>
              <c:numCache>
                <c:formatCode>General</c:formatCode>
                <c:ptCount val="4"/>
                <c:pt idx="0">
                  <c:v>1.276417052231209</c:v>
                </c:pt>
                <c:pt idx="1">
                  <c:v>0.46177299354704382</c:v>
                </c:pt>
                <c:pt idx="2">
                  <c:v>0.30428810392074945</c:v>
                </c:pt>
                <c:pt idx="3">
                  <c:v>0.12347211953500392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7-4CF7-AB68-0C3E73F7E641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(Sheet1!$D$3,Sheet1!$D$8,Sheet1!$D$13,Sheet1!$D$18)</c:f>
              <c:numCache>
                <c:formatCode>General</c:formatCode>
                <c:ptCount val="4"/>
                <c:pt idx="0">
                  <c:v>1.0936568099488424</c:v>
                </c:pt>
                <c:pt idx="1">
                  <c:v>0.48704834620311588</c:v>
                </c:pt>
                <c:pt idx="2">
                  <c:v>0.18957688802011519</c:v>
                </c:pt>
                <c:pt idx="3">
                  <c:v>0.12930489322486682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7-4CF7-AB68-0C3E73F7E641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(Sheet1!$D$4,Sheet1!$D$9,Sheet1!$D$14,Sheet1!$D$19)</c:f>
              <c:numCache>
                <c:formatCode>General</c:formatCode>
                <c:ptCount val="4"/>
                <c:pt idx="0">
                  <c:v>1.2355876364021694</c:v>
                </c:pt>
                <c:pt idx="1">
                  <c:v>0.19735391960659898</c:v>
                </c:pt>
                <c:pt idx="2">
                  <c:v>1.0800470046724961</c:v>
                </c:pt>
                <c:pt idx="3">
                  <c:v>1.2997481469906598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7-4CF7-AB68-0C3E73F7E641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(Sheet1!$D$5,Sheet1!$D$10,Sheet1!$D$15,Sheet1!$D$20)</c:f>
              <c:numCache>
                <c:formatCode>General</c:formatCode>
                <c:ptCount val="4"/>
                <c:pt idx="0">
                  <c:v>0.50454666727270414</c:v>
                </c:pt>
                <c:pt idx="1">
                  <c:v>-3.2068512194669552E-2</c:v>
                </c:pt>
                <c:pt idx="2">
                  <c:v>1.1500402889508492</c:v>
                </c:pt>
                <c:pt idx="3">
                  <c:v>1.2900268575075553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7-4CF7-AB68-0C3E73F7E641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(Sheet1!$D$6,Sheet1!$D$11,Sheet1!$D$16,Sheet1!$D$21)</c:f>
              <c:numCache>
                <c:formatCode>General</c:formatCode>
                <c:ptCount val="4"/>
                <c:pt idx="0">
                  <c:v>0.66592007269224029</c:v>
                </c:pt>
                <c:pt idx="1">
                  <c:v>-0.19927469130406861</c:v>
                </c:pt>
                <c:pt idx="2">
                  <c:v>-0.25371391240945429</c:v>
                </c:pt>
                <c:pt idx="3">
                  <c:v>-0.15455675968178739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7-4CF7-AB68-0C3E73F7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(Sheet1!$D$22,Sheet1!$D$27,Sheet1!$D$32,Sheet1!$D$37)</c:f>
              <c:numCache>
                <c:formatCode>General</c:formatCode>
                <c:ptCount val="4"/>
                <c:pt idx="0">
                  <c:v>0.41316654613152082</c:v>
                </c:pt>
                <c:pt idx="1">
                  <c:v>-4.7622575367636921E-2</c:v>
                </c:pt>
                <c:pt idx="2">
                  <c:v>0.17596708274376871</c:v>
                </c:pt>
                <c:pt idx="3">
                  <c:v>-0.17983211233785923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439-8EE5-4F3143F82284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(Sheet1!$D$23,Sheet1!$D$28,Sheet1!$D$33,Sheet1!$D$38)</c:f>
              <c:numCache>
                <c:formatCode>General</c:formatCode>
                <c:ptCount val="4"/>
                <c:pt idx="0">
                  <c:v>0.42872060930448819</c:v>
                </c:pt>
                <c:pt idx="1">
                  <c:v>7.0977156326239133E-2</c:v>
                </c:pt>
                <c:pt idx="2">
                  <c:v>1.2649419427611663E-2</c:v>
                </c:pt>
                <c:pt idx="3">
                  <c:v>-0.11956011754261087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4439-8EE5-4F3143F82284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(Sheet1!$D$24,Sheet1!$D$29,Sheet1!$D$34,Sheet1!$D$39)</c:f>
              <c:numCache>
                <c:formatCode>General</c:formatCode>
                <c:ptCount val="4"/>
                <c:pt idx="0">
                  <c:v>0.74563464645369804</c:v>
                </c:pt>
                <c:pt idx="1">
                  <c:v>4.1813287876925509E-2</c:v>
                </c:pt>
                <c:pt idx="2">
                  <c:v>5.9311608946513772E-2</c:v>
                </c:pt>
                <c:pt idx="3">
                  <c:v>-0.24010410713310781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2-4439-8EE5-4F3143F82284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(Sheet1!$D$25,Sheet1!$D$30,Sheet1!$D$35,Sheet1!$D$40)</c:f>
              <c:numCache>
                <c:formatCode>General</c:formatCode>
                <c:ptCount val="4"/>
                <c:pt idx="0">
                  <c:v>0.6231463989665802</c:v>
                </c:pt>
                <c:pt idx="1">
                  <c:v>0.57065143575781541</c:v>
                </c:pt>
                <c:pt idx="2">
                  <c:v>0.30623236181737035</c:v>
                </c:pt>
                <c:pt idx="3">
                  <c:v>0.17013430905390603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E2-4439-8EE5-4F3143F82284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(Sheet1!$D$26,Sheet1!$D$31,Sheet1!$D$36,Sheet1!$D$41)</c:f>
              <c:numCache>
                <c:formatCode>General</c:formatCode>
                <c:ptCount val="4"/>
                <c:pt idx="0">
                  <c:v>0.59203827262064546</c:v>
                </c:pt>
                <c:pt idx="1">
                  <c:v>4.8723878411278676E-3</c:v>
                </c:pt>
                <c:pt idx="2">
                  <c:v>-0.15066824388854561</c:v>
                </c:pt>
                <c:pt idx="3">
                  <c:v>-0.18955340182096392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2-4439-8EE5-4F3143F8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(Sheet1!$D$42,Sheet1!$D$47,Sheet1!$D$52,Sheet1!$D$57)</c:f>
              <c:numCache>
                <c:formatCode>General</c:formatCode>
                <c:ptCount val="4"/>
                <c:pt idx="0">
                  <c:v>0.59981530420712903</c:v>
                </c:pt>
                <c:pt idx="1">
                  <c:v>-8.0674959610192554E-2</c:v>
                </c:pt>
                <c:pt idx="2">
                  <c:v>-0.21482875447703598</c:v>
                </c:pt>
                <c:pt idx="3">
                  <c:v>-0.11372734385274819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2-4EA4-B5E6-479A4E26A290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(Sheet1!$D$43,Sheet1!$D$48,Sheet1!$D$53,Sheet1!$D$58)</c:f>
              <c:numCache>
                <c:formatCode>General</c:formatCode>
                <c:ptCount val="4"/>
                <c:pt idx="0">
                  <c:v>0.69702819903817503</c:v>
                </c:pt>
                <c:pt idx="1">
                  <c:v>-1.2625933228460395E-2</c:v>
                </c:pt>
                <c:pt idx="2">
                  <c:v>-0.26537945978917976</c:v>
                </c:pt>
                <c:pt idx="3">
                  <c:v>-0.14289121230206181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2-4EA4-B5E6-479A4E26A290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(Sheet1!$D$44,Sheet1!$D$49,Sheet1!$D$54,Sheet1!$D$59)</c:f>
              <c:numCache>
                <c:formatCode>General</c:formatCode>
                <c:ptCount val="4"/>
                <c:pt idx="0">
                  <c:v>0.60370382000037104</c:v>
                </c:pt>
                <c:pt idx="1">
                  <c:v>-0.21288449658041486</c:v>
                </c:pt>
                <c:pt idx="2">
                  <c:v>9.2363993189069404E-2</c:v>
                </c:pt>
                <c:pt idx="3">
                  <c:v>-0.25954668609931697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62-4EA4-B5E6-479A4E26A290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(Sheet1!$D$45,Sheet1!$D$50,Sheet1!$D$55,Sheet1!$D$60)</c:f>
              <c:numCache>
                <c:formatCode>General</c:formatCode>
                <c:ptCount val="4"/>
                <c:pt idx="0">
                  <c:v>0.79229683597259992</c:v>
                </c:pt>
                <c:pt idx="1">
                  <c:v>-0.18372062813110124</c:v>
                </c:pt>
                <c:pt idx="2">
                  <c:v>-0.22066152816689866</c:v>
                </c:pt>
                <c:pt idx="3">
                  <c:v>-0.40925454413912776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2-4EA4-B5E6-479A4E26A290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(Sheet1!$D$46,Sheet1!$D$51,Sheet1!$D$56,Sheet1!$D$61)</c:f>
              <c:numCache>
                <c:formatCode>General</c:formatCode>
                <c:ptCount val="4"/>
                <c:pt idx="0">
                  <c:v>0.31789790919709593</c:v>
                </c:pt>
                <c:pt idx="1">
                  <c:v>-5.9288122747362282E-2</c:v>
                </c:pt>
                <c:pt idx="2">
                  <c:v>-0.36064809672360476</c:v>
                </c:pt>
                <c:pt idx="3">
                  <c:v>-0.30815313351483997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62-4EA4-B5E6-479A4E26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1.276417052231209</c:v>
                </c:pt>
                <c:pt idx="1">
                  <c:v>1.0936568099488424</c:v>
                </c:pt>
                <c:pt idx="2">
                  <c:v>1.2355876364021694</c:v>
                </c:pt>
                <c:pt idx="3">
                  <c:v>0.50454666727270414</c:v>
                </c:pt>
                <c:pt idx="4">
                  <c:v>0.66592007269224029</c:v>
                </c:pt>
                <c:pt idx="5">
                  <c:v>0.41316654613152082</c:v>
                </c:pt>
                <c:pt idx="6">
                  <c:v>0.42872060930448819</c:v>
                </c:pt>
                <c:pt idx="7">
                  <c:v>0.74563464645369804</c:v>
                </c:pt>
                <c:pt idx="8">
                  <c:v>0.6231463989665802</c:v>
                </c:pt>
                <c:pt idx="9">
                  <c:v>0.59203827262064546</c:v>
                </c:pt>
                <c:pt idx="10">
                  <c:v>0.59981530420712903</c:v>
                </c:pt>
                <c:pt idx="11">
                  <c:v>0.69702819903817503</c:v>
                </c:pt>
                <c:pt idx="12">
                  <c:v>0.60370382000037104</c:v>
                </c:pt>
                <c:pt idx="13">
                  <c:v>0.79229683597259992</c:v>
                </c:pt>
                <c:pt idx="14">
                  <c:v>0.31789790919709593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AF0-BDB8-C58923B7897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0.46177299354704382</c:v>
                </c:pt>
                <c:pt idx="1">
                  <c:v>0.48704834620311588</c:v>
                </c:pt>
                <c:pt idx="2">
                  <c:v>0.19735391960659898</c:v>
                </c:pt>
                <c:pt idx="3">
                  <c:v>-3.2068512194669552E-2</c:v>
                </c:pt>
                <c:pt idx="4">
                  <c:v>-0.19927469130406861</c:v>
                </c:pt>
                <c:pt idx="5">
                  <c:v>-4.7622575367636921E-2</c:v>
                </c:pt>
                <c:pt idx="6">
                  <c:v>7.0977156326239133E-2</c:v>
                </c:pt>
                <c:pt idx="7">
                  <c:v>4.1813287876925509E-2</c:v>
                </c:pt>
                <c:pt idx="8">
                  <c:v>0.57065143575781541</c:v>
                </c:pt>
                <c:pt idx="9">
                  <c:v>4.8723878411278676E-3</c:v>
                </c:pt>
                <c:pt idx="10">
                  <c:v>-8.0674959610192554E-2</c:v>
                </c:pt>
                <c:pt idx="11">
                  <c:v>-1.2625933228460395E-2</c:v>
                </c:pt>
                <c:pt idx="12">
                  <c:v>-0.21288449658041486</c:v>
                </c:pt>
                <c:pt idx="13">
                  <c:v>-0.18372062813110124</c:v>
                </c:pt>
                <c:pt idx="14">
                  <c:v>-5.9288122747362282E-2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6-4AF0-BDB8-C58923B7897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0.30428810392074945</c:v>
                </c:pt>
                <c:pt idx="1">
                  <c:v>0.18957688802011519</c:v>
                </c:pt>
                <c:pt idx="2">
                  <c:v>1.0800470046724961</c:v>
                </c:pt>
                <c:pt idx="3">
                  <c:v>1.1500402889508492</c:v>
                </c:pt>
                <c:pt idx="4">
                  <c:v>-0.25371391240945429</c:v>
                </c:pt>
                <c:pt idx="5">
                  <c:v>0.17596708274376871</c:v>
                </c:pt>
                <c:pt idx="6">
                  <c:v>1.2649419427611663E-2</c:v>
                </c:pt>
                <c:pt idx="7">
                  <c:v>5.9311608946513772E-2</c:v>
                </c:pt>
                <c:pt idx="8">
                  <c:v>0.30623236181737035</c:v>
                </c:pt>
                <c:pt idx="9">
                  <c:v>-0.15066824388854561</c:v>
                </c:pt>
                <c:pt idx="10">
                  <c:v>-0.21482875447703598</c:v>
                </c:pt>
                <c:pt idx="11">
                  <c:v>-0.26537945978917976</c:v>
                </c:pt>
                <c:pt idx="12">
                  <c:v>9.2363993189069404E-2</c:v>
                </c:pt>
                <c:pt idx="13">
                  <c:v>-0.22066152816689866</c:v>
                </c:pt>
                <c:pt idx="14">
                  <c:v>-0.36064809672360476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C6-4AF0-BDB8-C58923B78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1.276417052231209</c:v>
                </c:pt>
                <c:pt idx="1">
                  <c:v>1.0936568099488424</c:v>
                </c:pt>
                <c:pt idx="2">
                  <c:v>1.2355876364021694</c:v>
                </c:pt>
                <c:pt idx="3">
                  <c:v>0.50454666727270414</c:v>
                </c:pt>
                <c:pt idx="4">
                  <c:v>0.66592007269224029</c:v>
                </c:pt>
                <c:pt idx="5">
                  <c:v>0.41316654613152082</c:v>
                </c:pt>
                <c:pt idx="6">
                  <c:v>0.42872060930448819</c:v>
                </c:pt>
                <c:pt idx="7">
                  <c:v>0.74563464645369804</c:v>
                </c:pt>
                <c:pt idx="8">
                  <c:v>0.6231463989665802</c:v>
                </c:pt>
                <c:pt idx="9">
                  <c:v>0.59203827262064546</c:v>
                </c:pt>
                <c:pt idx="10">
                  <c:v>0.59981530420712903</c:v>
                </c:pt>
                <c:pt idx="11">
                  <c:v>0.69702819903817503</c:v>
                </c:pt>
                <c:pt idx="12">
                  <c:v>0.60370382000037104</c:v>
                </c:pt>
                <c:pt idx="13">
                  <c:v>0.79229683597259992</c:v>
                </c:pt>
                <c:pt idx="14">
                  <c:v>0.31789790919709593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2-4D4F-94BB-5387DE811416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0.46177299354704382</c:v>
                </c:pt>
                <c:pt idx="1">
                  <c:v>0.48704834620311588</c:v>
                </c:pt>
                <c:pt idx="2">
                  <c:v>0.19735391960659898</c:v>
                </c:pt>
                <c:pt idx="3">
                  <c:v>-3.2068512194669552E-2</c:v>
                </c:pt>
                <c:pt idx="4">
                  <c:v>-0.19927469130406861</c:v>
                </c:pt>
                <c:pt idx="5">
                  <c:v>-4.7622575367636921E-2</c:v>
                </c:pt>
                <c:pt idx="6">
                  <c:v>7.0977156326239133E-2</c:v>
                </c:pt>
                <c:pt idx="7">
                  <c:v>4.1813287876925509E-2</c:v>
                </c:pt>
                <c:pt idx="8">
                  <c:v>0.57065143575781541</c:v>
                </c:pt>
                <c:pt idx="9">
                  <c:v>4.8723878411278676E-3</c:v>
                </c:pt>
                <c:pt idx="10">
                  <c:v>-8.0674959610192554E-2</c:v>
                </c:pt>
                <c:pt idx="11">
                  <c:v>-1.2625933228460395E-2</c:v>
                </c:pt>
                <c:pt idx="12">
                  <c:v>-0.21288449658041486</c:v>
                </c:pt>
                <c:pt idx="13">
                  <c:v>-0.18372062813110124</c:v>
                </c:pt>
                <c:pt idx="14">
                  <c:v>-5.9288122747362282E-2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2-4D4F-94BB-5387DE811416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0.30428810392074945</c:v>
                </c:pt>
                <c:pt idx="1">
                  <c:v>0.18957688802011519</c:v>
                </c:pt>
                <c:pt idx="2">
                  <c:v>1.0800470046724961</c:v>
                </c:pt>
                <c:pt idx="3">
                  <c:v>1.1500402889508492</c:v>
                </c:pt>
                <c:pt idx="4">
                  <c:v>-0.25371391240945429</c:v>
                </c:pt>
                <c:pt idx="5">
                  <c:v>0.17596708274376871</c:v>
                </c:pt>
                <c:pt idx="6">
                  <c:v>1.2649419427611663E-2</c:v>
                </c:pt>
                <c:pt idx="7">
                  <c:v>5.9311608946513772E-2</c:v>
                </c:pt>
                <c:pt idx="8">
                  <c:v>0.30623236181737035</c:v>
                </c:pt>
                <c:pt idx="9">
                  <c:v>-0.15066824388854561</c:v>
                </c:pt>
                <c:pt idx="10">
                  <c:v>-0.21482875447703598</c:v>
                </c:pt>
                <c:pt idx="11">
                  <c:v>-0.26537945978917976</c:v>
                </c:pt>
                <c:pt idx="12">
                  <c:v>9.2363993189069404E-2</c:v>
                </c:pt>
                <c:pt idx="13">
                  <c:v>-0.22066152816689866</c:v>
                </c:pt>
                <c:pt idx="14">
                  <c:v>-0.36064809672360476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2-4D4F-94BB-5387DE81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1.276417052231209</c:v>
                </c:pt>
                <c:pt idx="1">
                  <c:v>1.0936568099488424</c:v>
                </c:pt>
                <c:pt idx="2">
                  <c:v>1.2355876364021694</c:v>
                </c:pt>
                <c:pt idx="3">
                  <c:v>0.50454666727270414</c:v>
                </c:pt>
                <c:pt idx="4">
                  <c:v>0.66592007269224029</c:v>
                </c:pt>
                <c:pt idx="5">
                  <c:v>0.41316654613152082</c:v>
                </c:pt>
                <c:pt idx="6">
                  <c:v>0.42872060930448819</c:v>
                </c:pt>
                <c:pt idx="7">
                  <c:v>0.74563464645369804</c:v>
                </c:pt>
                <c:pt idx="8">
                  <c:v>0.6231463989665802</c:v>
                </c:pt>
                <c:pt idx="9">
                  <c:v>0.59203827262064546</c:v>
                </c:pt>
                <c:pt idx="10">
                  <c:v>0.59981530420712903</c:v>
                </c:pt>
                <c:pt idx="11">
                  <c:v>0.69702819903817503</c:v>
                </c:pt>
                <c:pt idx="12">
                  <c:v>0.60370382000037104</c:v>
                </c:pt>
                <c:pt idx="13">
                  <c:v>0.79229683597259992</c:v>
                </c:pt>
                <c:pt idx="14">
                  <c:v>0.31789790919709593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A-486E-9862-D91B6512F06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0.46177299354704382</c:v>
                </c:pt>
                <c:pt idx="1">
                  <c:v>0.48704834620311588</c:v>
                </c:pt>
                <c:pt idx="2">
                  <c:v>0.19735391960659898</c:v>
                </c:pt>
                <c:pt idx="3">
                  <c:v>-3.2068512194669552E-2</c:v>
                </c:pt>
                <c:pt idx="4">
                  <c:v>-0.19927469130406861</c:v>
                </c:pt>
                <c:pt idx="5">
                  <c:v>-4.7622575367636921E-2</c:v>
                </c:pt>
                <c:pt idx="6">
                  <c:v>7.0977156326239133E-2</c:v>
                </c:pt>
                <c:pt idx="7">
                  <c:v>4.1813287876925509E-2</c:v>
                </c:pt>
                <c:pt idx="8">
                  <c:v>0.57065143575781541</c:v>
                </c:pt>
                <c:pt idx="9">
                  <c:v>4.8723878411278676E-3</c:v>
                </c:pt>
                <c:pt idx="10">
                  <c:v>-8.0674959610192554E-2</c:v>
                </c:pt>
                <c:pt idx="11">
                  <c:v>-1.2625933228460395E-2</c:v>
                </c:pt>
                <c:pt idx="12">
                  <c:v>-0.21288449658041486</c:v>
                </c:pt>
                <c:pt idx="13">
                  <c:v>-0.18372062813110124</c:v>
                </c:pt>
                <c:pt idx="14">
                  <c:v>-5.9288122747362282E-2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A-486E-9862-D91B6512F06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0.30428810392074945</c:v>
                </c:pt>
                <c:pt idx="1">
                  <c:v>0.18957688802011519</c:v>
                </c:pt>
                <c:pt idx="2">
                  <c:v>1.0800470046724961</c:v>
                </c:pt>
                <c:pt idx="3">
                  <c:v>1.1500402889508492</c:v>
                </c:pt>
                <c:pt idx="4">
                  <c:v>-0.25371391240945429</c:v>
                </c:pt>
                <c:pt idx="5">
                  <c:v>0.17596708274376871</c:v>
                </c:pt>
                <c:pt idx="6">
                  <c:v>1.2649419427611663E-2</c:v>
                </c:pt>
                <c:pt idx="7">
                  <c:v>5.9311608946513772E-2</c:v>
                </c:pt>
                <c:pt idx="8">
                  <c:v>0.30623236181737035</c:v>
                </c:pt>
                <c:pt idx="9">
                  <c:v>-0.15066824388854561</c:v>
                </c:pt>
                <c:pt idx="10">
                  <c:v>-0.21482875447703598</c:v>
                </c:pt>
                <c:pt idx="11">
                  <c:v>-0.26537945978917976</c:v>
                </c:pt>
                <c:pt idx="12">
                  <c:v>9.2363993189069404E-2</c:v>
                </c:pt>
                <c:pt idx="13">
                  <c:v>-0.22066152816689866</c:v>
                </c:pt>
                <c:pt idx="14">
                  <c:v>-0.36064809672360476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A-486E-9862-D91B6512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1721.7120104320088</c:v>
                  </c:pt>
                  <c:pt idx="1">
                    <c:v>4675.156943842544</c:v>
                  </c:pt>
                  <c:pt idx="2">
                    <c:v>5117.6320525160418</c:v>
                  </c:pt>
                  <c:pt idx="3">
                    <c:v>4519.8356703174104</c:v>
                  </c:pt>
                </c:numCache>
              </c:numRef>
            </c:plus>
            <c:min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1721.7120104320088</c:v>
                  </c:pt>
                  <c:pt idx="1">
                    <c:v>4675.156943842544</c:v>
                  </c:pt>
                  <c:pt idx="2">
                    <c:v>5117.6320525160418</c:v>
                  </c:pt>
                  <c:pt idx="3">
                    <c:v>4519.8356703174104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(Sheet1!$M$2,Sheet1!$M$7,Sheet1!$M$12,Sheet1!$M$17)</c:f>
              <c:numCache>
                <c:formatCode>General</c:formatCode>
                <c:ptCount val="4"/>
                <c:pt idx="0">
                  <c:v>9222.4398084064178</c:v>
                </c:pt>
                <c:pt idx="1">
                  <c:v>24703.662679838639</c:v>
                </c:pt>
                <c:pt idx="2">
                  <c:v>23494.197541867419</c:v>
                </c:pt>
                <c:pt idx="3">
                  <c:v>24221.572773772154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B89-B68A-CCA15B93D00C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2369.6529894269174</c:v>
                  </c:pt>
                  <c:pt idx="1">
                    <c:v>1714.5403565475176</c:v>
                  </c:pt>
                  <c:pt idx="2">
                    <c:v>3057.4092814352534</c:v>
                  </c:pt>
                  <c:pt idx="3">
                    <c:v>3857.976410020909</c:v>
                  </c:pt>
                </c:numCache>
              </c:numRef>
            </c:plus>
            <c:min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2369.6529894269174</c:v>
                  </c:pt>
                  <c:pt idx="1">
                    <c:v>1714.5403565475176</c:v>
                  </c:pt>
                  <c:pt idx="2">
                    <c:v>3057.4092814352534</c:v>
                  </c:pt>
                  <c:pt idx="3">
                    <c:v>3857.976410020909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(Sheet1!$M$22,Sheet1!$M$27,Sheet1!$M$32,Sheet1!$M$37)</c:f>
              <c:numCache>
                <c:formatCode>General</c:formatCode>
                <c:ptCount val="4"/>
                <c:pt idx="0">
                  <c:v>11672.639255843391</c:v>
                </c:pt>
                <c:pt idx="1">
                  <c:v>17725.914552672759</c:v>
                </c:pt>
                <c:pt idx="2">
                  <c:v>21810.642776897192</c:v>
                </c:pt>
                <c:pt idx="3">
                  <c:v>34507.187883917228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F2-4B89-B68A-CCA15B93D00C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2790.2450528569448</c:v>
                  </c:pt>
                  <c:pt idx="1">
                    <c:v>4234.2654893751305</c:v>
                  </c:pt>
                  <c:pt idx="2">
                    <c:v>3132.1410078309423</c:v>
                  </c:pt>
                  <c:pt idx="3">
                    <c:v>5336.4137715138986</c:v>
                  </c:pt>
                </c:numCache>
              </c:numRef>
            </c:plus>
            <c:min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2790.2450528569448</c:v>
                  </c:pt>
                  <c:pt idx="1">
                    <c:v>4234.2654893751305</c:v>
                  </c:pt>
                  <c:pt idx="2">
                    <c:v>3132.1410078309423</c:v>
                  </c:pt>
                  <c:pt idx="3">
                    <c:v>5336.4137715138986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(Sheet1!$M$42,Sheet1!$M$47,Sheet1!$M$52,Sheet1!$M$57)</c:f>
              <c:numCache>
                <c:formatCode>General</c:formatCode>
                <c:ptCount val="4"/>
                <c:pt idx="0">
                  <c:v>10031.745830771477</c:v>
                </c:pt>
                <c:pt idx="1">
                  <c:v>23975.659774620923</c:v>
                </c:pt>
                <c:pt idx="2">
                  <c:v>26334.597157980395</c:v>
                </c:pt>
                <c:pt idx="3">
                  <c:v>33385.349620608227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2-4B89-B68A-CCA15B93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(Sheet1!$E$2,Sheet1!$E$7,Sheet1!$E$12,Sheet1!$E$17)</c:f>
              <c:numCache>
                <c:formatCode>General</c:formatCode>
                <c:ptCount val="4"/>
                <c:pt idx="0">
                  <c:v>8232.721666134943</c:v>
                </c:pt>
                <c:pt idx="1">
                  <c:v>12556.10273337244</c:v>
                </c:pt>
                <c:pt idx="2">
                  <c:v>18283.366147067245</c:v>
                </c:pt>
                <c:pt idx="3">
                  <c:v>26084.609393640949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E-465B-80FA-C899F8F93303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(Sheet1!$E$3,Sheet1!$E$8,Sheet1!$E$13,Sheet1!$E$18)</c:f>
              <c:numCache>
                <c:formatCode>General</c:formatCode>
                <c:ptCount val="4"/>
                <c:pt idx="0">
                  <c:v>10145.458971884509</c:v>
                </c:pt>
                <c:pt idx="1">
                  <c:v>33820.713644280579</c:v>
                </c:pt>
                <c:pt idx="2">
                  <c:v>36583.324704891245</c:v>
                </c:pt>
                <c:pt idx="3">
                  <c:v>37174.451892569785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E-465B-80FA-C899F8F93303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(Sheet1!$E$4,Sheet1!$E$9,Sheet1!$E$14,Sheet1!$E$24)</c:f>
              <c:numCache>
                <c:formatCode>General</c:formatCode>
                <c:ptCount val="4"/>
                <c:pt idx="0">
                  <c:v>14775.755932864726</c:v>
                </c:pt>
                <c:pt idx="1">
                  <c:v>37337.933189333387</c:v>
                </c:pt>
                <c:pt idx="2">
                  <c:v>15162.899516514946</c:v>
                </c:pt>
                <c:pt idx="3">
                  <c:v>9038.4742806238755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DE-465B-80FA-C899F8F93303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(Sheet1!$E$5,Sheet1!$E$10,Sheet1!$E$15,Sheet1!$E$20)</c:f>
              <c:numCache>
                <c:formatCode>General</c:formatCode>
                <c:ptCount val="4"/>
                <c:pt idx="0">
                  <c:v>8883.6618270103208</c:v>
                </c:pt>
                <c:pt idx="1">
                  <c:v>19302.987709129422</c:v>
                </c:pt>
                <c:pt idx="2">
                  <c:v>12411.144955226626</c:v>
                </c:pt>
                <c:pt idx="3">
                  <c:v>14164.132246936371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E-465B-80FA-C899F8F93303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(Sheet1!$E$6,Sheet1!$E$11,Sheet1!$E$16,Sheet1!$E$21)</c:f>
              <c:numCache>
                <c:formatCode>General</c:formatCode>
                <c:ptCount val="4"/>
                <c:pt idx="0">
                  <c:v>4074.6006441375889</c:v>
                </c:pt>
                <c:pt idx="1">
                  <c:v>20500.576123077382</c:v>
                </c:pt>
                <c:pt idx="2">
                  <c:v>35030.252385637039</c:v>
                </c:pt>
                <c:pt idx="3">
                  <c:v>29743.495009888728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DE-465B-80FA-C899F8F9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Dioxide </a:t>
                </a:r>
                <a:r>
                  <a:rPr lang="en-US"/>
                  <a:t>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(Sheet1!$E$22,Sheet1!$E$27,Sheet1!$E$32,Sheet1!$E$37)</c:f>
              <c:numCache>
                <c:formatCode>General</c:formatCode>
                <c:ptCount val="4"/>
                <c:pt idx="0">
                  <c:v>9394.0604128540581</c:v>
                </c:pt>
                <c:pt idx="1">
                  <c:v>16123.750820004461</c:v>
                </c:pt>
                <c:pt idx="2">
                  <c:v>19206.352597929676</c:v>
                </c:pt>
                <c:pt idx="3">
                  <c:v>33541.255902307938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0-4DEC-81E8-C8EF066C9575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(Sheet1!$E$23,Sheet1!$E$28,Sheet1!$E$33,Sheet1!$E$38)</c:f>
              <c:numCache>
                <c:formatCode>General</c:formatCode>
                <c:ptCount val="4"/>
                <c:pt idx="0">
                  <c:v>21054.431374287684</c:v>
                </c:pt>
                <c:pt idx="1">
                  <c:v>23209.201145155748</c:v>
                </c:pt>
                <c:pt idx="2">
                  <c:v>33546.612593122351</c:v>
                </c:pt>
                <c:pt idx="3">
                  <c:v>49215.250128750828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0-4DEC-81E8-C8EF066C9575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(Sheet1!$E$24,Sheet1!$E$29,Sheet1!$E$34,Sheet1!$E$39)</c:f>
              <c:numCache>
                <c:formatCode>General</c:formatCode>
                <c:ptCount val="4"/>
                <c:pt idx="0">
                  <c:v>9038.4742806238755</c:v>
                </c:pt>
                <c:pt idx="1">
                  <c:v>12875.888996839107</c:v>
                </c:pt>
                <c:pt idx="2">
                  <c:v>16240.555303297417</c:v>
                </c:pt>
                <c:pt idx="3">
                  <c:v>33312.431155762388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0-4DEC-81E8-C8EF066C9575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(Sheet1!$E$25,Sheet1!$E$30,Sheet1!$E$35,Sheet1!$E$40)</c:f>
              <c:numCache>
                <c:formatCode>General</c:formatCode>
                <c:ptCount val="4"/>
                <c:pt idx="0">
                  <c:v>10479.781903935334</c:v>
                </c:pt>
                <c:pt idx="1">
                  <c:v>19251.393780617294</c:v>
                </c:pt>
                <c:pt idx="2">
                  <c:v>18437.463012213226</c:v>
                </c:pt>
                <c:pt idx="3">
                  <c:v>27863.511210569286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D0-4DEC-81E8-C8EF066C9575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(Sheet1!$E$26,Sheet1!$E$31,Sheet1!$E$36,Sheet1!$E$41)</c:f>
              <c:numCache>
                <c:formatCode>General</c:formatCode>
                <c:ptCount val="4"/>
                <c:pt idx="0">
                  <c:v>8396.4483075159969</c:v>
                </c:pt>
                <c:pt idx="1">
                  <c:v>17169.3380207472</c:v>
                </c:pt>
                <c:pt idx="2">
                  <c:v>21622.230377923293</c:v>
                </c:pt>
                <c:pt idx="3">
                  <c:v>28603.491022195725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D0-4DEC-81E8-C8EF066C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(Sheet1!$E$42,Sheet1!$E$47,Sheet1!$E$52,Sheet1!$E$57)</c:f>
              <c:numCache>
                <c:formatCode>General</c:formatCode>
                <c:ptCount val="4"/>
                <c:pt idx="0">
                  <c:v>4045.9259919726378</c:v>
                </c:pt>
                <c:pt idx="1">
                  <c:v>16645.61926671418</c:v>
                </c:pt>
                <c:pt idx="2">
                  <c:v>19013.113043607369</c:v>
                </c:pt>
                <c:pt idx="3">
                  <c:v>29050.048894039421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3-43A0-94C7-D802203207EA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(Sheet1!$E$43,Sheet1!$E$48,Sheet1!$E$53,Sheet1!$E$58)</c:f>
              <c:numCache>
                <c:formatCode>General</c:formatCode>
                <c:ptCount val="4"/>
                <c:pt idx="0">
                  <c:v>9290.4534254416594</c:v>
                </c:pt>
                <c:pt idx="1">
                  <c:v>22532.959820605411</c:v>
                </c:pt>
                <c:pt idx="2">
                  <c:v>26676.67706901973</c:v>
                </c:pt>
                <c:pt idx="3">
                  <c:v>25897.636349756114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3-43A0-94C7-D802203207EA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(Sheet1!$E$44,Sheet1!$E$49,Sheet1!$E$54,Sheet1!$E$59)</c:f>
              <c:numCache>
                <c:formatCode>General</c:formatCode>
                <c:ptCount val="4"/>
                <c:pt idx="0">
                  <c:v>16731.551218977489</c:v>
                </c:pt>
                <c:pt idx="1">
                  <c:v>39937.420747414239</c:v>
                </c:pt>
                <c:pt idx="2">
                  <c:v>31082.913058109963</c:v>
                </c:pt>
                <c:pt idx="3">
                  <c:v>52538.40208139742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3-43A0-94C7-D802203207EA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(Sheet1!$E$45,Sheet1!$E$50,Sheet1!$E$55,Sheet1!$E$60)</c:f>
              <c:numCache>
                <c:formatCode>General</c:formatCode>
                <c:ptCount val="4"/>
                <c:pt idx="0">
                  <c:v>3944.4964380401439</c:v>
                </c:pt>
                <c:pt idx="1">
                  <c:v>17053.208235152248</c:v>
                </c:pt>
                <c:pt idx="2">
                  <c:v>19786.929967057687</c:v>
                </c:pt>
                <c:pt idx="3">
                  <c:v>22614.649355525242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3-43A0-94C7-D802203207EA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(Sheet1!$E$46,Sheet1!$E$51,Sheet1!$E$56,Sheet1!$E$61)</c:f>
              <c:numCache>
                <c:formatCode>General</c:formatCode>
                <c:ptCount val="4"/>
                <c:pt idx="0">
                  <c:v>16146.302079425455</c:v>
                </c:pt>
                <c:pt idx="1">
                  <c:v>23709.090803218533</c:v>
                </c:pt>
                <c:pt idx="2">
                  <c:v>35113.352652107234</c:v>
                </c:pt>
                <c:pt idx="3">
                  <c:v>36826.011422322954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3-43A0-94C7-D8022032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8232.721666134943</c:v>
                </c:pt>
                <c:pt idx="1">
                  <c:v>10145.458971884509</c:v>
                </c:pt>
                <c:pt idx="2">
                  <c:v>14775.755932864726</c:v>
                </c:pt>
                <c:pt idx="3">
                  <c:v>8883.6618270103208</c:v>
                </c:pt>
                <c:pt idx="4">
                  <c:v>4074.6006441375889</c:v>
                </c:pt>
                <c:pt idx="5">
                  <c:v>9394.0604128540581</c:v>
                </c:pt>
                <c:pt idx="6">
                  <c:v>21054.431374287684</c:v>
                </c:pt>
                <c:pt idx="7">
                  <c:v>9038.4742806238755</c:v>
                </c:pt>
                <c:pt idx="8">
                  <c:v>10479.781903935334</c:v>
                </c:pt>
                <c:pt idx="9">
                  <c:v>8396.4483075159969</c:v>
                </c:pt>
                <c:pt idx="10">
                  <c:v>4045.9259919726378</c:v>
                </c:pt>
                <c:pt idx="11">
                  <c:v>9290.4534254416594</c:v>
                </c:pt>
                <c:pt idx="12">
                  <c:v>16731.551218977489</c:v>
                </c:pt>
                <c:pt idx="13">
                  <c:v>3944.4964380401439</c:v>
                </c:pt>
                <c:pt idx="14">
                  <c:v>16146.302079425455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418-9CC7-C14F062B334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12556.10273337244</c:v>
                </c:pt>
                <c:pt idx="1">
                  <c:v>33820.713644280579</c:v>
                </c:pt>
                <c:pt idx="2">
                  <c:v>37337.933189333387</c:v>
                </c:pt>
                <c:pt idx="3">
                  <c:v>19302.987709129422</c:v>
                </c:pt>
                <c:pt idx="4">
                  <c:v>20500.576123077382</c:v>
                </c:pt>
                <c:pt idx="5">
                  <c:v>16123.750820004461</c:v>
                </c:pt>
                <c:pt idx="6">
                  <c:v>23209.201145155748</c:v>
                </c:pt>
                <c:pt idx="7">
                  <c:v>12875.888996839107</c:v>
                </c:pt>
                <c:pt idx="8">
                  <c:v>19251.393780617294</c:v>
                </c:pt>
                <c:pt idx="9">
                  <c:v>17169.3380207472</c:v>
                </c:pt>
                <c:pt idx="10">
                  <c:v>16645.61926671418</c:v>
                </c:pt>
                <c:pt idx="11">
                  <c:v>22532.959820605411</c:v>
                </c:pt>
                <c:pt idx="12">
                  <c:v>39937.420747414239</c:v>
                </c:pt>
                <c:pt idx="13">
                  <c:v>17053.208235152248</c:v>
                </c:pt>
                <c:pt idx="14">
                  <c:v>23709.090803218533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0-4418-9CC7-C14F062B334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18283.366147067245</c:v>
                </c:pt>
                <c:pt idx="1">
                  <c:v>36583.324704891245</c:v>
                </c:pt>
                <c:pt idx="2">
                  <c:v>15162.899516514946</c:v>
                </c:pt>
                <c:pt idx="3">
                  <c:v>12411.144955226626</c:v>
                </c:pt>
                <c:pt idx="4">
                  <c:v>35030.252385637039</c:v>
                </c:pt>
                <c:pt idx="5">
                  <c:v>19206.352597929676</c:v>
                </c:pt>
                <c:pt idx="6">
                  <c:v>33546.612593122351</c:v>
                </c:pt>
                <c:pt idx="7">
                  <c:v>16240.555303297417</c:v>
                </c:pt>
                <c:pt idx="8">
                  <c:v>18437.463012213226</c:v>
                </c:pt>
                <c:pt idx="9">
                  <c:v>21622.230377923293</c:v>
                </c:pt>
                <c:pt idx="10">
                  <c:v>19013.113043607369</c:v>
                </c:pt>
                <c:pt idx="11">
                  <c:v>26676.67706901973</c:v>
                </c:pt>
                <c:pt idx="12">
                  <c:v>31082.913058109963</c:v>
                </c:pt>
                <c:pt idx="13">
                  <c:v>19786.929967057687</c:v>
                </c:pt>
                <c:pt idx="14">
                  <c:v>35113.352652107234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70-4418-9CC7-C14F062B3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8232.721666134943</c:v>
                </c:pt>
                <c:pt idx="1">
                  <c:v>10145.458971884509</c:v>
                </c:pt>
                <c:pt idx="2">
                  <c:v>14775.755932864726</c:v>
                </c:pt>
                <c:pt idx="3">
                  <c:v>8883.6618270103208</c:v>
                </c:pt>
                <c:pt idx="4">
                  <c:v>4074.6006441375889</c:v>
                </c:pt>
                <c:pt idx="5">
                  <c:v>9394.0604128540581</c:v>
                </c:pt>
                <c:pt idx="6">
                  <c:v>21054.431374287684</c:v>
                </c:pt>
                <c:pt idx="7">
                  <c:v>9038.4742806238755</c:v>
                </c:pt>
                <c:pt idx="8">
                  <c:v>10479.781903935334</c:v>
                </c:pt>
                <c:pt idx="9">
                  <c:v>8396.4483075159969</c:v>
                </c:pt>
                <c:pt idx="10">
                  <c:v>4045.9259919726378</c:v>
                </c:pt>
                <c:pt idx="11">
                  <c:v>9290.4534254416594</c:v>
                </c:pt>
                <c:pt idx="12">
                  <c:v>16731.551218977489</c:v>
                </c:pt>
                <c:pt idx="13">
                  <c:v>3944.4964380401439</c:v>
                </c:pt>
                <c:pt idx="14">
                  <c:v>16146.302079425455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9-4F35-B0A8-CC1C980E180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12556.10273337244</c:v>
                </c:pt>
                <c:pt idx="1">
                  <c:v>33820.713644280579</c:v>
                </c:pt>
                <c:pt idx="2">
                  <c:v>37337.933189333387</c:v>
                </c:pt>
                <c:pt idx="3">
                  <c:v>19302.987709129422</c:v>
                </c:pt>
                <c:pt idx="4">
                  <c:v>20500.576123077382</c:v>
                </c:pt>
                <c:pt idx="5">
                  <c:v>16123.750820004461</c:v>
                </c:pt>
                <c:pt idx="6">
                  <c:v>23209.201145155748</c:v>
                </c:pt>
                <c:pt idx="7">
                  <c:v>12875.888996839107</c:v>
                </c:pt>
                <c:pt idx="8">
                  <c:v>19251.393780617294</c:v>
                </c:pt>
                <c:pt idx="9">
                  <c:v>17169.3380207472</c:v>
                </c:pt>
                <c:pt idx="10">
                  <c:v>16645.61926671418</c:v>
                </c:pt>
                <c:pt idx="11">
                  <c:v>22532.959820605411</c:v>
                </c:pt>
                <c:pt idx="12">
                  <c:v>39937.420747414239</c:v>
                </c:pt>
                <c:pt idx="13">
                  <c:v>17053.208235152248</c:v>
                </c:pt>
                <c:pt idx="14">
                  <c:v>23709.090803218533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9-4F35-B0A8-CC1C980E180D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18283.366147067245</c:v>
                </c:pt>
                <c:pt idx="1">
                  <c:v>36583.324704891245</c:v>
                </c:pt>
                <c:pt idx="2">
                  <c:v>15162.899516514946</c:v>
                </c:pt>
                <c:pt idx="3">
                  <c:v>12411.144955226626</c:v>
                </c:pt>
                <c:pt idx="4">
                  <c:v>35030.252385637039</c:v>
                </c:pt>
                <c:pt idx="5">
                  <c:v>19206.352597929676</c:v>
                </c:pt>
                <c:pt idx="6">
                  <c:v>33546.612593122351</c:v>
                </c:pt>
                <c:pt idx="7">
                  <c:v>16240.555303297417</c:v>
                </c:pt>
                <c:pt idx="8">
                  <c:v>18437.463012213226</c:v>
                </c:pt>
                <c:pt idx="9">
                  <c:v>21622.230377923293</c:v>
                </c:pt>
                <c:pt idx="10">
                  <c:v>19013.113043607369</c:v>
                </c:pt>
                <c:pt idx="11">
                  <c:v>26676.67706901973</c:v>
                </c:pt>
                <c:pt idx="12">
                  <c:v>31082.913058109963</c:v>
                </c:pt>
                <c:pt idx="13">
                  <c:v>19786.929967057687</c:v>
                </c:pt>
                <c:pt idx="14">
                  <c:v>35113.352652107234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9-4F35-B0A8-CC1C980E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Carbon Dioxide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8232.721666134943</c:v>
                </c:pt>
                <c:pt idx="1">
                  <c:v>10145.458971884509</c:v>
                </c:pt>
                <c:pt idx="2">
                  <c:v>14775.755932864726</c:v>
                </c:pt>
                <c:pt idx="3">
                  <c:v>8883.6618270103208</c:v>
                </c:pt>
                <c:pt idx="4">
                  <c:v>4074.6006441375889</c:v>
                </c:pt>
                <c:pt idx="5">
                  <c:v>9394.0604128540581</c:v>
                </c:pt>
                <c:pt idx="6">
                  <c:v>21054.431374287684</c:v>
                </c:pt>
                <c:pt idx="7">
                  <c:v>9038.4742806238755</c:v>
                </c:pt>
                <c:pt idx="8">
                  <c:v>10479.781903935334</c:v>
                </c:pt>
                <c:pt idx="9">
                  <c:v>8396.4483075159969</c:v>
                </c:pt>
                <c:pt idx="10">
                  <c:v>4045.9259919726378</c:v>
                </c:pt>
                <c:pt idx="11">
                  <c:v>9290.4534254416594</c:v>
                </c:pt>
                <c:pt idx="12">
                  <c:v>16731.551218977489</c:v>
                </c:pt>
                <c:pt idx="13">
                  <c:v>3944.4964380401439</c:v>
                </c:pt>
                <c:pt idx="14">
                  <c:v>16146.302079425455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7-4EE4-9DA2-87F4A25F109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12556.10273337244</c:v>
                </c:pt>
                <c:pt idx="1">
                  <c:v>33820.713644280579</c:v>
                </c:pt>
                <c:pt idx="2">
                  <c:v>37337.933189333387</c:v>
                </c:pt>
                <c:pt idx="3">
                  <c:v>19302.987709129422</c:v>
                </c:pt>
                <c:pt idx="4">
                  <c:v>20500.576123077382</c:v>
                </c:pt>
                <c:pt idx="5">
                  <c:v>16123.750820004461</c:v>
                </c:pt>
                <c:pt idx="6">
                  <c:v>23209.201145155748</c:v>
                </c:pt>
                <c:pt idx="7">
                  <c:v>12875.888996839107</c:v>
                </c:pt>
                <c:pt idx="8">
                  <c:v>19251.393780617294</c:v>
                </c:pt>
                <c:pt idx="9">
                  <c:v>17169.3380207472</c:v>
                </c:pt>
                <c:pt idx="10">
                  <c:v>16645.61926671418</c:v>
                </c:pt>
                <c:pt idx="11">
                  <c:v>22532.959820605411</c:v>
                </c:pt>
                <c:pt idx="12">
                  <c:v>39937.420747414239</c:v>
                </c:pt>
                <c:pt idx="13">
                  <c:v>17053.208235152248</c:v>
                </c:pt>
                <c:pt idx="14">
                  <c:v>23709.090803218533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EE4-9DA2-87F4A25F109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18283.366147067245</c:v>
                </c:pt>
                <c:pt idx="1">
                  <c:v>36583.324704891245</c:v>
                </c:pt>
                <c:pt idx="2">
                  <c:v>15162.899516514946</c:v>
                </c:pt>
                <c:pt idx="3">
                  <c:v>12411.144955226626</c:v>
                </c:pt>
                <c:pt idx="4">
                  <c:v>35030.252385637039</c:v>
                </c:pt>
                <c:pt idx="5">
                  <c:v>19206.352597929676</c:v>
                </c:pt>
                <c:pt idx="6">
                  <c:v>33546.612593122351</c:v>
                </c:pt>
                <c:pt idx="7">
                  <c:v>16240.555303297417</c:v>
                </c:pt>
                <c:pt idx="8">
                  <c:v>18437.463012213226</c:v>
                </c:pt>
                <c:pt idx="9">
                  <c:v>21622.230377923293</c:v>
                </c:pt>
                <c:pt idx="10">
                  <c:v>19013.113043607369</c:v>
                </c:pt>
                <c:pt idx="11">
                  <c:v>26676.67706901973</c:v>
                </c:pt>
                <c:pt idx="12">
                  <c:v>31082.913058109963</c:v>
                </c:pt>
                <c:pt idx="13">
                  <c:v>19786.929967057687</c:v>
                </c:pt>
                <c:pt idx="14">
                  <c:v>35113.352652107234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7-4EE4-9DA2-87F4A25F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600075</xdr:colOff>
      <xdr:row>9</xdr:row>
      <xdr:rowOff>11642</xdr:rowOff>
    </xdr:from>
    <xdr:to>
      <xdr:col>25</xdr:col>
      <xdr:colOff>258233</xdr:colOff>
      <xdr:row>23</xdr:row>
      <xdr:rowOff>16934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2DF66-8AA9-4498-A389-EF940DA13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24</xdr:row>
      <xdr:rowOff>21167</xdr:rowOff>
    </xdr:from>
    <xdr:to>
      <xdr:col>25</xdr:col>
      <xdr:colOff>275166</xdr:colOff>
      <xdr:row>39</xdr:row>
      <xdr:rowOff>8467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79309-79BE-4455-879F-4C2D1EDC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9979</xdr:colOff>
      <xdr:row>0</xdr:row>
      <xdr:rowOff>360587</xdr:rowOff>
    </xdr:from>
    <xdr:to>
      <xdr:col>28</xdr:col>
      <xdr:colOff>0</xdr:colOff>
      <xdr:row>27</xdr:row>
      <xdr:rowOff>160110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DD416-5D7B-418C-BAB3-F022B455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122009</xdr:colOff>
      <xdr:row>0</xdr:row>
      <xdr:rowOff>350157</xdr:rowOff>
    </xdr:from>
    <xdr:to>
      <xdr:col>35</xdr:col>
      <xdr:colOff>462642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744E8-195A-4793-B06F-AAD58EEF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499834</xdr:colOff>
      <xdr:row>0</xdr:row>
      <xdr:rowOff>346982</xdr:rowOff>
    </xdr:from>
    <xdr:to>
      <xdr:col>43</xdr:col>
      <xdr:colOff>190499</xdr:colOff>
      <xdr:row>27</xdr:row>
      <xdr:rowOff>146504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A52C-53C5-4199-9D71-03E5BABB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245382</xdr:colOff>
      <xdr:row>0</xdr:row>
      <xdr:rowOff>366938</xdr:rowOff>
    </xdr:from>
    <xdr:to>
      <xdr:col>50</xdr:col>
      <xdr:colOff>513898</xdr:colOff>
      <xdr:row>28</xdr:row>
      <xdr:rowOff>13606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6E5AB-B1C9-48B2-BAC2-8E4734E2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9977</xdr:colOff>
      <xdr:row>28</xdr:row>
      <xdr:rowOff>135618</xdr:rowOff>
    </xdr:from>
    <xdr:to>
      <xdr:col>23</xdr:col>
      <xdr:colOff>295727</xdr:colOff>
      <xdr:row>44</xdr:row>
      <xdr:rowOff>10886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10AB20-1110-44B0-B810-A6B1C92D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363763</xdr:colOff>
      <xdr:row>28</xdr:row>
      <xdr:rowOff>135617</xdr:rowOff>
    </xdr:from>
    <xdr:to>
      <xdr:col>31</xdr:col>
      <xdr:colOff>37192</xdr:colOff>
      <xdr:row>44</xdr:row>
      <xdr:rowOff>7710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E3ADD4-E8E4-4315-9E08-6B86002C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186870</xdr:colOff>
      <xdr:row>28</xdr:row>
      <xdr:rowOff>122011</xdr:rowOff>
    </xdr:from>
    <xdr:to>
      <xdr:col>38</xdr:col>
      <xdr:colOff>472620</xdr:colOff>
      <xdr:row>43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527D92-F8FD-4D27-8456-521AF094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13606</xdr:colOff>
      <xdr:row>44</xdr:row>
      <xdr:rowOff>149679</xdr:rowOff>
    </xdr:from>
    <xdr:to>
      <xdr:col>28</xdr:col>
      <xdr:colOff>3627</xdr:colOff>
      <xdr:row>71</xdr:row>
      <xdr:rowOff>156484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7A7921-7534-4349-832D-94892EDC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95249</xdr:colOff>
      <xdr:row>44</xdr:row>
      <xdr:rowOff>136071</xdr:rowOff>
    </xdr:from>
    <xdr:to>
      <xdr:col>35</xdr:col>
      <xdr:colOff>435882</xdr:colOff>
      <xdr:row>71</xdr:row>
      <xdr:rowOff>150132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45DFB5-99A1-4B79-81F0-D6072FBE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503464</xdr:colOff>
      <xdr:row>44</xdr:row>
      <xdr:rowOff>122464</xdr:rowOff>
    </xdr:from>
    <xdr:to>
      <xdr:col>43</xdr:col>
      <xdr:colOff>187779</xdr:colOff>
      <xdr:row>71</xdr:row>
      <xdr:rowOff>116568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B1B380-5C73-4C05-A71A-8E4CB6776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244929</xdr:colOff>
      <xdr:row>44</xdr:row>
      <xdr:rowOff>108856</xdr:rowOff>
    </xdr:from>
    <xdr:to>
      <xdr:col>50</xdr:col>
      <xdr:colOff>513445</xdr:colOff>
      <xdr:row>71</xdr:row>
      <xdr:rowOff>139699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9770E9-B229-4134-8954-E0EC4B94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40821</xdr:colOff>
      <xdr:row>72</xdr:row>
      <xdr:rowOff>136072</xdr:rowOff>
    </xdr:from>
    <xdr:to>
      <xdr:col>23</xdr:col>
      <xdr:colOff>326571</xdr:colOff>
      <xdr:row>88</xdr:row>
      <xdr:rowOff>45811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C9C990-217A-4DD9-87A5-D0CD9365D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394606</xdr:colOff>
      <xdr:row>72</xdr:row>
      <xdr:rowOff>149679</xdr:rowOff>
    </xdr:from>
    <xdr:to>
      <xdr:col>31</xdr:col>
      <xdr:colOff>68035</xdr:colOff>
      <xdr:row>88</xdr:row>
      <xdr:rowOff>65768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32555B-E045-4DF4-BEF6-682CBC8BA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105682</xdr:colOff>
      <xdr:row>72</xdr:row>
      <xdr:rowOff>149679</xdr:rowOff>
    </xdr:from>
    <xdr:to>
      <xdr:col>38</xdr:col>
      <xdr:colOff>391432</xdr:colOff>
      <xdr:row>88</xdr:row>
      <xdr:rowOff>56243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57B3DD-27D3-4D8A-9C6A-EC6EB11F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66"/>
  <sheetViews>
    <sheetView tabSelected="1" topLeftCell="F1" zoomScale="110" zoomScaleNormal="110" workbookViewId="0">
      <selection activeCell="AB15" sqref="AB15"/>
    </sheetView>
  </sheetViews>
  <sheetFormatPr defaultRowHeight="16.5" x14ac:dyDescent="0.3"/>
  <cols>
    <col min="1" max="1" width="13.85546875" style="1" customWidth="1"/>
    <col min="2" max="2" width="12.42578125" style="1" bestFit="1" customWidth="1"/>
    <col min="3" max="3" width="14.5703125" style="11" customWidth="1"/>
    <col min="4" max="4" width="11.42578125" style="11" customWidth="1"/>
    <col min="5" max="5" width="8.7109375" style="11"/>
    <col min="6" max="6" width="9.28515625" style="11" customWidth="1"/>
    <col min="7" max="7" width="10.5703125" style="11" customWidth="1"/>
    <col min="8" max="10" width="8.7109375" style="11"/>
    <col min="11" max="11" width="20.28515625" style="11" customWidth="1"/>
    <col min="13" max="13" width="9.5703125" customWidth="1"/>
    <col min="15" max="15" width="9.42578125" customWidth="1"/>
    <col min="17" max="17" width="13.5703125" customWidth="1"/>
    <col min="18" max="18" width="11.5703125" customWidth="1"/>
  </cols>
  <sheetData>
    <row r="2" spans="1:29" x14ac:dyDescent="0.3">
      <c r="A2" s="2" t="s">
        <v>10</v>
      </c>
    </row>
    <row r="3" spans="1:29" x14ac:dyDescent="0.3">
      <c r="A3" s="2" t="s">
        <v>11</v>
      </c>
    </row>
    <row r="4" spans="1:29" x14ac:dyDescent="0.3">
      <c r="A4" s="2" t="s">
        <v>47</v>
      </c>
      <c r="B4" s="3"/>
    </row>
    <row r="5" spans="1:29" ht="17.25" thickBot="1" x14ac:dyDescent="0.35">
      <c r="B5" s="3"/>
    </row>
    <row r="6" spans="1:29" ht="50.25" thickBot="1" x14ac:dyDescent="0.3">
      <c r="A6" s="17" t="s">
        <v>4</v>
      </c>
      <c r="B6" s="18" t="s">
        <v>3</v>
      </c>
      <c r="C6" s="18" t="s">
        <v>1</v>
      </c>
      <c r="D6" s="18" t="s">
        <v>5</v>
      </c>
      <c r="E6" s="18" t="s">
        <v>2</v>
      </c>
      <c r="F6" s="18" t="s">
        <v>35</v>
      </c>
      <c r="G6" s="19" t="s">
        <v>6</v>
      </c>
      <c r="H6" s="19" t="s">
        <v>7</v>
      </c>
      <c r="I6" s="19" t="s">
        <v>8</v>
      </c>
      <c r="J6" s="106" t="s">
        <v>9</v>
      </c>
      <c r="K6" s="118" t="s">
        <v>48</v>
      </c>
      <c r="M6" s="64" t="s">
        <v>12</v>
      </c>
    </row>
    <row r="7" spans="1:29" ht="17.25" thickBot="1" x14ac:dyDescent="0.35">
      <c r="A7" s="68">
        <v>44391</v>
      </c>
      <c r="B7" s="68">
        <v>44391</v>
      </c>
      <c r="C7" s="15" t="s">
        <v>18</v>
      </c>
      <c r="D7" s="15" t="s">
        <v>19</v>
      </c>
      <c r="E7" s="15">
        <v>10</v>
      </c>
      <c r="F7" s="15">
        <v>1</v>
      </c>
      <c r="G7" s="15">
        <v>1305</v>
      </c>
      <c r="H7" s="15">
        <v>844978</v>
      </c>
      <c r="I7" s="15">
        <f>(G7*$AB$14)+$AB$15</f>
        <v>1.276417052231209</v>
      </c>
      <c r="J7" s="107">
        <f t="shared" ref="J7:J38" si="0">(H7*$AB$29)+$AB$30</f>
        <v>8232.721666134943</v>
      </c>
      <c r="K7" s="117"/>
      <c r="M7" s="124" t="s">
        <v>13</v>
      </c>
      <c r="N7" s="126" t="s">
        <v>14</v>
      </c>
      <c r="O7" s="125" t="s">
        <v>0</v>
      </c>
      <c r="P7" s="32" t="s">
        <v>26</v>
      </c>
      <c r="Q7" s="33" t="s">
        <v>27</v>
      </c>
    </row>
    <row r="8" spans="1:29" ht="17.25" thickBot="1" x14ac:dyDescent="0.35">
      <c r="A8" s="68">
        <v>44391</v>
      </c>
      <c r="B8" s="68">
        <v>44391</v>
      </c>
      <c r="C8" s="12" t="s">
        <v>18</v>
      </c>
      <c r="D8" s="12" t="s">
        <v>19</v>
      </c>
      <c r="E8" s="12">
        <v>20</v>
      </c>
      <c r="F8" s="12">
        <v>2</v>
      </c>
      <c r="G8" s="12">
        <v>886</v>
      </c>
      <c r="H8" s="12">
        <v>1267898</v>
      </c>
      <c r="I8" s="12">
        <f t="shared" ref="I8:I66" si="1">(G8*$AB$14)+$AB$15</f>
        <v>0.46177299354704382</v>
      </c>
      <c r="J8" s="108">
        <f t="shared" si="0"/>
        <v>12556.10273337244</v>
      </c>
      <c r="K8" s="113"/>
      <c r="M8" s="105" t="s">
        <v>28</v>
      </c>
      <c r="N8" s="121">
        <v>7.5</v>
      </c>
      <c r="O8" s="15">
        <v>3921</v>
      </c>
      <c r="P8" s="35">
        <f>AVERAGE(N8:N10)</f>
        <v>7.5</v>
      </c>
      <c r="Q8" s="36">
        <f>AVERAGE(O8:O10)</f>
        <v>4365.666666666667</v>
      </c>
    </row>
    <row r="9" spans="1:29" ht="17.25" thickBot="1" x14ac:dyDescent="0.35">
      <c r="A9" s="68">
        <v>44391</v>
      </c>
      <c r="B9" s="68">
        <v>44391</v>
      </c>
      <c r="C9" s="12" t="s">
        <v>18</v>
      </c>
      <c r="D9" s="12" t="s">
        <v>19</v>
      </c>
      <c r="E9" s="12">
        <v>35</v>
      </c>
      <c r="F9" s="12">
        <v>3</v>
      </c>
      <c r="G9" s="12">
        <v>805</v>
      </c>
      <c r="H9" s="12">
        <v>1828148</v>
      </c>
      <c r="I9" s="12">
        <f t="shared" si="1"/>
        <v>0.30428810392074945</v>
      </c>
      <c r="J9" s="108">
        <f t="shared" si="0"/>
        <v>18283.366147067245</v>
      </c>
      <c r="K9" s="113"/>
      <c r="M9" s="127" t="s">
        <v>28</v>
      </c>
      <c r="N9" s="122">
        <v>7.5</v>
      </c>
      <c r="O9" s="12">
        <v>4537</v>
      </c>
      <c r="P9" s="37"/>
      <c r="Q9" s="38"/>
      <c r="AC9" s="1"/>
    </row>
    <row r="10" spans="1:29" ht="17.25" thickBot="1" x14ac:dyDescent="0.35">
      <c r="A10" s="68">
        <v>44391</v>
      </c>
      <c r="B10" s="68">
        <v>44391</v>
      </c>
      <c r="C10" s="12" t="s">
        <v>18</v>
      </c>
      <c r="D10" s="12" t="s">
        <v>19</v>
      </c>
      <c r="E10" s="12">
        <v>50</v>
      </c>
      <c r="F10" s="12">
        <v>4</v>
      </c>
      <c r="G10" s="12">
        <v>712</v>
      </c>
      <c r="H10" s="12">
        <v>2591278</v>
      </c>
      <c r="I10" s="12">
        <f t="shared" si="1"/>
        <v>0.12347211953500392</v>
      </c>
      <c r="J10" s="108">
        <f t="shared" si="0"/>
        <v>26084.609393640949</v>
      </c>
      <c r="K10" s="113"/>
      <c r="M10" s="128" t="s">
        <v>28</v>
      </c>
      <c r="N10" s="123">
        <v>7.5</v>
      </c>
      <c r="O10" s="39">
        <v>4639</v>
      </c>
      <c r="P10" s="39"/>
      <c r="Q10" s="40"/>
      <c r="AC10" s="1"/>
    </row>
    <row r="11" spans="1:29" ht="17.25" thickBot="1" x14ac:dyDescent="0.35">
      <c r="A11" s="68">
        <v>44391</v>
      </c>
      <c r="B11" s="68">
        <v>44391</v>
      </c>
      <c r="C11" s="20" t="s">
        <v>18</v>
      </c>
      <c r="D11" s="20" t="s">
        <v>20</v>
      </c>
      <c r="E11" s="20">
        <v>10</v>
      </c>
      <c r="F11" s="20">
        <v>5</v>
      </c>
      <c r="G11" s="20">
        <v>1211</v>
      </c>
      <c r="H11" s="20">
        <v>1032085</v>
      </c>
      <c r="I11" s="20">
        <f t="shared" si="1"/>
        <v>1.0936568099488424</v>
      </c>
      <c r="J11" s="109">
        <f t="shared" si="0"/>
        <v>10145.458971884509</v>
      </c>
      <c r="K11" s="114"/>
      <c r="M11" s="6" t="s">
        <v>29</v>
      </c>
      <c r="N11" s="15">
        <v>5</v>
      </c>
      <c r="O11" s="41">
        <v>3480</v>
      </c>
      <c r="P11" s="42">
        <f>AVERAGE(N11:N13)</f>
        <v>5</v>
      </c>
      <c r="Q11" s="43">
        <f>AVERAGE(O11:O13)</f>
        <v>3333.6666666666665</v>
      </c>
      <c r="AC11" s="1"/>
    </row>
    <row r="12" spans="1:29" ht="17.25" thickBot="1" x14ac:dyDescent="0.35">
      <c r="A12" s="68">
        <v>44391</v>
      </c>
      <c r="B12" s="68">
        <v>44391</v>
      </c>
      <c r="C12" s="21" t="s">
        <v>18</v>
      </c>
      <c r="D12" s="21" t="s">
        <v>20</v>
      </c>
      <c r="E12" s="21">
        <v>20</v>
      </c>
      <c r="F12" s="21">
        <v>6</v>
      </c>
      <c r="G12" s="21">
        <v>899</v>
      </c>
      <c r="H12" s="21">
        <v>3348036</v>
      </c>
      <c r="I12" s="21">
        <f t="shared" si="1"/>
        <v>0.48704834620311588</v>
      </c>
      <c r="J12" s="110">
        <f t="shared" si="0"/>
        <v>33820.713644280579</v>
      </c>
      <c r="K12" s="114"/>
      <c r="M12" s="8" t="s">
        <v>29</v>
      </c>
      <c r="N12" s="12">
        <v>5</v>
      </c>
      <c r="O12" s="12">
        <v>3276</v>
      </c>
      <c r="P12" s="37"/>
      <c r="Q12" s="38"/>
      <c r="AC12" s="1"/>
    </row>
    <row r="13" spans="1:29" ht="17.25" thickBot="1" x14ac:dyDescent="0.35">
      <c r="A13" s="68">
        <v>44391</v>
      </c>
      <c r="B13" s="68">
        <v>44391</v>
      </c>
      <c r="C13" s="21" t="s">
        <v>18</v>
      </c>
      <c r="D13" s="21" t="s">
        <v>20</v>
      </c>
      <c r="E13" s="21">
        <v>35</v>
      </c>
      <c r="F13" s="21">
        <v>7</v>
      </c>
      <c r="G13" s="21">
        <v>746</v>
      </c>
      <c r="H13" s="21">
        <v>3618279</v>
      </c>
      <c r="I13" s="21">
        <f t="shared" si="1"/>
        <v>0.18957688802011519</v>
      </c>
      <c r="J13" s="110">
        <f t="shared" si="0"/>
        <v>36583.324704891245</v>
      </c>
      <c r="K13" s="114"/>
      <c r="M13" s="44" t="s">
        <v>29</v>
      </c>
      <c r="N13" s="47">
        <v>5</v>
      </c>
      <c r="O13" s="22">
        <v>3245</v>
      </c>
      <c r="P13" s="45"/>
      <c r="Q13" s="46"/>
      <c r="AC13" s="1"/>
    </row>
    <row r="14" spans="1:29" ht="17.25" thickBot="1" x14ac:dyDescent="0.35">
      <c r="A14" s="68">
        <v>44391</v>
      </c>
      <c r="B14" s="68">
        <v>44391</v>
      </c>
      <c r="C14" s="21" t="s">
        <v>18</v>
      </c>
      <c r="D14" s="21" t="s">
        <v>20</v>
      </c>
      <c r="E14" s="21">
        <v>50</v>
      </c>
      <c r="F14" s="21">
        <v>8</v>
      </c>
      <c r="G14" s="21">
        <v>715</v>
      </c>
      <c r="H14" s="21">
        <v>3676104</v>
      </c>
      <c r="I14" s="21">
        <f t="shared" si="1"/>
        <v>0.12930489322486682</v>
      </c>
      <c r="J14" s="110">
        <f t="shared" si="0"/>
        <v>37174.451892569785</v>
      </c>
      <c r="K14" s="114"/>
      <c r="M14" s="14" t="s">
        <v>30</v>
      </c>
      <c r="N14" s="41">
        <v>3</v>
      </c>
      <c r="O14" s="15">
        <v>2572</v>
      </c>
      <c r="P14" s="35">
        <f>AVERAGE(N14:N16)</f>
        <v>3</v>
      </c>
      <c r="Q14" s="36">
        <f>AVERAGE(O14:O16)</f>
        <v>2298</v>
      </c>
      <c r="AA14" s="2" t="s">
        <v>15</v>
      </c>
      <c r="AB14" s="1">
        <f>SLOPE(P8:P22,Q8:Q22)</f>
        <v>1.9442578966209188E-3</v>
      </c>
      <c r="AC14" s="1"/>
    </row>
    <row r="15" spans="1:29" ht="17.25" thickBot="1" x14ac:dyDescent="0.35">
      <c r="A15" s="68">
        <v>44391</v>
      </c>
      <c r="B15" s="68">
        <v>44391</v>
      </c>
      <c r="C15" s="15" t="s">
        <v>18</v>
      </c>
      <c r="D15" s="15" t="s">
        <v>21</v>
      </c>
      <c r="E15" s="15">
        <v>10</v>
      </c>
      <c r="F15" s="15">
        <v>9</v>
      </c>
      <c r="G15" s="15">
        <v>1284</v>
      </c>
      <c r="H15" s="15">
        <v>1485028</v>
      </c>
      <c r="I15" s="15">
        <f t="shared" si="1"/>
        <v>1.2355876364021694</v>
      </c>
      <c r="J15" s="107">
        <f t="shared" si="0"/>
        <v>14775.755932864726</v>
      </c>
      <c r="K15" s="113"/>
      <c r="M15" s="8" t="s">
        <v>30</v>
      </c>
      <c r="N15" s="41">
        <v>3</v>
      </c>
      <c r="O15" s="12">
        <v>2153</v>
      </c>
      <c r="P15" s="37"/>
      <c r="Q15" s="38"/>
      <c r="AA15" s="2" t="s">
        <v>16</v>
      </c>
      <c r="AB15" s="1">
        <f>INTERCEPT(P8:P22,Q8:Q22)</f>
        <v>-1.2608395028590902</v>
      </c>
      <c r="AC15" s="1"/>
    </row>
    <row r="16" spans="1:29" ht="17.25" thickBot="1" x14ac:dyDescent="0.35">
      <c r="A16" s="68">
        <v>44391</v>
      </c>
      <c r="B16" s="68">
        <v>44391</v>
      </c>
      <c r="C16" s="12" t="s">
        <v>18</v>
      </c>
      <c r="D16" s="12" t="s">
        <v>21</v>
      </c>
      <c r="E16" s="12">
        <v>20</v>
      </c>
      <c r="F16" s="12">
        <v>10</v>
      </c>
      <c r="G16" s="12">
        <v>750</v>
      </c>
      <c r="H16" s="12">
        <v>3692096</v>
      </c>
      <c r="I16" s="12">
        <f t="shared" si="1"/>
        <v>0.19735391960659898</v>
      </c>
      <c r="J16" s="108">
        <f t="shared" si="0"/>
        <v>37337.933189333387</v>
      </c>
      <c r="K16" s="113"/>
      <c r="M16" s="10" t="s">
        <v>30</v>
      </c>
      <c r="N16" s="12">
        <v>3</v>
      </c>
      <c r="O16" s="47">
        <v>2169</v>
      </c>
      <c r="P16" s="39"/>
      <c r="Q16" s="40"/>
      <c r="AA16" s="2" t="s">
        <v>17</v>
      </c>
      <c r="AB16" s="1">
        <f>RSQ(P8:P22,Q8:Q22)</f>
        <v>0.99154066604021462</v>
      </c>
      <c r="AC16" s="1"/>
    </row>
    <row r="17" spans="1:29" ht="17.25" thickBot="1" x14ac:dyDescent="0.35">
      <c r="A17" s="68">
        <v>44391</v>
      </c>
      <c r="B17" s="68">
        <v>44391</v>
      </c>
      <c r="C17" s="12" t="s">
        <v>18</v>
      </c>
      <c r="D17" s="12" t="s">
        <v>21</v>
      </c>
      <c r="E17" s="12">
        <v>35</v>
      </c>
      <c r="F17" s="12">
        <v>11</v>
      </c>
      <c r="G17" s="12">
        <v>1204</v>
      </c>
      <c r="H17" s="12">
        <v>1522899</v>
      </c>
      <c r="I17" s="12">
        <f t="shared" si="1"/>
        <v>1.0800470046724961</v>
      </c>
      <c r="J17" s="108">
        <f t="shared" si="0"/>
        <v>15162.899516514946</v>
      </c>
      <c r="K17" s="115" t="s">
        <v>49</v>
      </c>
      <c r="M17" s="6" t="s">
        <v>31</v>
      </c>
      <c r="N17" s="15">
        <v>1.5</v>
      </c>
      <c r="O17" s="41">
        <v>1604</v>
      </c>
      <c r="P17" s="42">
        <f>AVERAGE(N17:N19)</f>
        <v>1.5</v>
      </c>
      <c r="Q17" s="43">
        <f>AVERAGE(O17:O19)</f>
        <v>1488.3333333333333</v>
      </c>
      <c r="AA17" s="1"/>
      <c r="AB17" s="1"/>
      <c r="AC17" s="1"/>
    </row>
    <row r="18" spans="1:29" ht="17.25" thickBot="1" x14ac:dyDescent="0.35">
      <c r="A18" s="68">
        <v>44391</v>
      </c>
      <c r="B18" s="68">
        <v>44391</v>
      </c>
      <c r="C18" s="22" t="s">
        <v>18</v>
      </c>
      <c r="D18" s="22" t="s">
        <v>21</v>
      </c>
      <c r="E18" s="22">
        <v>50</v>
      </c>
      <c r="F18" s="22">
        <v>12</v>
      </c>
      <c r="G18" s="22">
        <v>1317</v>
      </c>
      <c r="H18" s="22">
        <v>1403388</v>
      </c>
      <c r="I18" s="22">
        <f t="shared" si="1"/>
        <v>1.2997481469906598</v>
      </c>
      <c r="J18" s="111">
        <f t="shared" si="0"/>
        <v>13941.175325824932</v>
      </c>
      <c r="K18" s="115" t="s">
        <v>50</v>
      </c>
      <c r="M18" s="6" t="s">
        <v>31</v>
      </c>
      <c r="N18" s="12">
        <v>1.5</v>
      </c>
      <c r="O18" s="41">
        <v>1535</v>
      </c>
      <c r="P18" s="42"/>
      <c r="Q18" s="43"/>
      <c r="AA18" s="1"/>
      <c r="AB18" s="1"/>
      <c r="AC18" s="1"/>
    </row>
    <row r="19" spans="1:29" ht="17.25" thickBot="1" x14ac:dyDescent="0.35">
      <c r="A19" s="68">
        <v>44391</v>
      </c>
      <c r="B19" s="68">
        <v>44391</v>
      </c>
      <c r="C19" s="15" t="s">
        <v>18</v>
      </c>
      <c r="D19" s="15" t="s">
        <v>22</v>
      </c>
      <c r="E19" s="15">
        <v>10</v>
      </c>
      <c r="F19" s="15">
        <v>13</v>
      </c>
      <c r="G19" s="15">
        <v>908</v>
      </c>
      <c r="H19" s="15">
        <v>908654</v>
      </c>
      <c r="I19" s="15">
        <f t="shared" si="1"/>
        <v>0.50454666727270414</v>
      </c>
      <c r="J19" s="107">
        <f t="shared" si="0"/>
        <v>8883.6618270103208</v>
      </c>
      <c r="K19" s="113"/>
      <c r="M19" s="44" t="s">
        <v>31</v>
      </c>
      <c r="N19" s="47">
        <v>1.5</v>
      </c>
      <c r="O19" s="12">
        <v>1326</v>
      </c>
      <c r="P19" s="37"/>
      <c r="Q19" s="38"/>
      <c r="AA19" s="1"/>
      <c r="AB19" s="1"/>
      <c r="AC19" s="1"/>
    </row>
    <row r="20" spans="1:29" ht="17.25" thickBot="1" x14ac:dyDescent="0.35">
      <c r="A20" s="68">
        <v>44391</v>
      </c>
      <c r="B20" s="68">
        <v>44391</v>
      </c>
      <c r="C20" s="12" t="s">
        <v>18</v>
      </c>
      <c r="D20" s="12" t="s">
        <v>22</v>
      </c>
      <c r="E20" s="12">
        <v>20</v>
      </c>
      <c r="F20" s="12">
        <v>14</v>
      </c>
      <c r="G20" s="12">
        <v>632</v>
      </c>
      <c r="H20" s="12">
        <v>1927889</v>
      </c>
      <c r="I20" s="12">
        <f t="shared" si="1"/>
        <v>-3.2068512194669552E-2</v>
      </c>
      <c r="J20" s="108">
        <f t="shared" si="0"/>
        <v>19302.987709129422</v>
      </c>
      <c r="K20" s="113"/>
      <c r="M20" s="14" t="s">
        <v>32</v>
      </c>
      <c r="N20" s="130">
        <v>0.5</v>
      </c>
      <c r="O20" s="15">
        <v>935</v>
      </c>
      <c r="P20" s="35">
        <f>AVERAGE(N20:N22)</f>
        <v>0.5</v>
      </c>
      <c r="Q20" s="36">
        <f>AVERAGE(O20:O22)</f>
        <v>757.66666666666663</v>
      </c>
      <c r="AA20" s="1"/>
      <c r="AB20" s="1"/>
      <c r="AC20" s="1"/>
    </row>
    <row r="21" spans="1:29" ht="17.25" thickBot="1" x14ac:dyDescent="0.35">
      <c r="A21" s="68">
        <v>44391</v>
      </c>
      <c r="B21" s="68">
        <v>44391</v>
      </c>
      <c r="C21" s="12" t="s">
        <v>18</v>
      </c>
      <c r="D21" s="12" t="s">
        <v>22</v>
      </c>
      <c r="E21" s="12">
        <v>35</v>
      </c>
      <c r="F21" s="12">
        <v>15</v>
      </c>
      <c r="G21" s="12">
        <v>1240</v>
      </c>
      <c r="H21" s="12">
        <v>1253718</v>
      </c>
      <c r="I21" s="12">
        <f t="shared" si="1"/>
        <v>1.1500402889508492</v>
      </c>
      <c r="J21" s="108">
        <f t="shared" si="0"/>
        <v>12411.144955226626</v>
      </c>
      <c r="K21" s="113"/>
      <c r="M21" s="8" t="s">
        <v>32</v>
      </c>
      <c r="N21" s="122">
        <v>0.5</v>
      </c>
      <c r="O21" s="12">
        <v>656</v>
      </c>
      <c r="P21" s="37"/>
      <c r="Q21" s="38"/>
      <c r="AA21" s="1"/>
      <c r="AB21" s="1"/>
      <c r="AC21" s="1"/>
    </row>
    <row r="22" spans="1:29" ht="17.25" thickBot="1" x14ac:dyDescent="0.35">
      <c r="A22" s="68">
        <v>44391</v>
      </c>
      <c r="B22" s="68">
        <v>44391</v>
      </c>
      <c r="C22" s="12" t="s">
        <v>18</v>
      </c>
      <c r="D22" s="12" t="s">
        <v>22</v>
      </c>
      <c r="E22" s="12">
        <v>50</v>
      </c>
      <c r="F22" s="12">
        <v>16</v>
      </c>
      <c r="G22" s="12">
        <v>1312</v>
      </c>
      <c r="H22" s="12">
        <v>1425198</v>
      </c>
      <c r="I22" s="12">
        <f t="shared" si="1"/>
        <v>1.2900268575075553</v>
      </c>
      <c r="J22" s="108">
        <f t="shared" si="0"/>
        <v>14164.132246936371</v>
      </c>
      <c r="K22" s="113"/>
      <c r="M22" s="10" t="s">
        <v>32</v>
      </c>
      <c r="N22" s="129">
        <v>0.5</v>
      </c>
      <c r="O22" s="47">
        <v>682</v>
      </c>
      <c r="P22" s="39"/>
      <c r="Q22" s="40"/>
      <c r="AA22" s="1"/>
      <c r="AB22" s="1"/>
      <c r="AC22" s="1"/>
    </row>
    <row r="23" spans="1:29" ht="17.25" thickBot="1" x14ac:dyDescent="0.35">
      <c r="A23" s="68">
        <v>44391</v>
      </c>
      <c r="B23" s="68">
        <v>44391</v>
      </c>
      <c r="C23" s="20" t="s">
        <v>18</v>
      </c>
      <c r="D23" s="20" t="s">
        <v>23</v>
      </c>
      <c r="E23" s="20">
        <v>10</v>
      </c>
      <c r="F23" s="20">
        <v>17</v>
      </c>
      <c r="G23" s="20">
        <v>991</v>
      </c>
      <c r="H23" s="20">
        <v>438224</v>
      </c>
      <c r="I23" s="20">
        <f t="shared" si="1"/>
        <v>0.66592007269224029</v>
      </c>
      <c r="J23" s="109">
        <f t="shared" si="0"/>
        <v>4074.6006441375889</v>
      </c>
      <c r="K23" s="114"/>
      <c r="O23" s="1"/>
      <c r="P23" s="1"/>
      <c r="Q23" s="1"/>
      <c r="AA23" s="1"/>
      <c r="AB23" s="1"/>
      <c r="AC23" s="1"/>
    </row>
    <row r="24" spans="1:29" ht="17.25" thickBot="1" x14ac:dyDescent="0.35">
      <c r="A24" s="68">
        <v>44391</v>
      </c>
      <c r="B24" s="68">
        <v>44391</v>
      </c>
      <c r="C24" s="21" t="s">
        <v>18</v>
      </c>
      <c r="D24" s="21" t="s">
        <v>23</v>
      </c>
      <c r="E24" s="21">
        <v>20</v>
      </c>
      <c r="F24" s="21">
        <v>18</v>
      </c>
      <c r="G24" s="21">
        <v>546</v>
      </c>
      <c r="H24" s="21">
        <v>2045039</v>
      </c>
      <c r="I24" s="21">
        <f t="shared" si="1"/>
        <v>-0.19927469130406861</v>
      </c>
      <c r="J24" s="110">
        <f t="shared" si="0"/>
        <v>20500.576123077382</v>
      </c>
      <c r="K24" s="114"/>
      <c r="M24" s="29" t="s">
        <v>33</v>
      </c>
      <c r="O24" s="48"/>
      <c r="P24" s="48"/>
      <c r="Q24" s="1"/>
      <c r="AA24" s="1"/>
      <c r="AB24" s="1"/>
      <c r="AC24" s="1"/>
    </row>
    <row r="25" spans="1:29" ht="17.25" thickBot="1" x14ac:dyDescent="0.35">
      <c r="A25" s="68">
        <v>44391</v>
      </c>
      <c r="B25" s="68">
        <v>44391</v>
      </c>
      <c r="C25" s="21" t="s">
        <v>18</v>
      </c>
      <c r="D25" s="21" t="s">
        <v>23</v>
      </c>
      <c r="E25" s="21">
        <v>35</v>
      </c>
      <c r="F25" s="21">
        <v>19</v>
      </c>
      <c r="G25" s="21">
        <v>518</v>
      </c>
      <c r="H25" s="21">
        <v>3466355</v>
      </c>
      <c r="I25" s="21">
        <f t="shared" si="1"/>
        <v>-0.25371391240945429</v>
      </c>
      <c r="J25" s="110">
        <f t="shared" si="0"/>
        <v>35030.252385637039</v>
      </c>
      <c r="K25" s="114"/>
      <c r="M25" s="30" t="s">
        <v>13</v>
      </c>
      <c r="N25" s="31" t="s">
        <v>14</v>
      </c>
      <c r="O25" s="31" t="s">
        <v>0</v>
      </c>
      <c r="P25" s="32" t="s">
        <v>26</v>
      </c>
      <c r="Q25" s="33" t="s">
        <v>27</v>
      </c>
      <c r="AA25" s="1"/>
      <c r="AB25" s="1"/>
      <c r="AC25" s="1"/>
    </row>
    <row r="26" spans="1:29" ht="17.25" thickBot="1" x14ac:dyDescent="0.35">
      <c r="A26" s="68">
        <v>44391</v>
      </c>
      <c r="B26" s="68">
        <v>44391</v>
      </c>
      <c r="C26" s="24" t="s">
        <v>18</v>
      </c>
      <c r="D26" s="24" t="s">
        <v>23</v>
      </c>
      <c r="E26" s="24">
        <v>50</v>
      </c>
      <c r="F26" s="24">
        <v>20</v>
      </c>
      <c r="G26" s="25">
        <v>569</v>
      </c>
      <c r="H26" s="25">
        <v>2949196</v>
      </c>
      <c r="I26" s="24">
        <f t="shared" si="1"/>
        <v>-0.15455675968178739</v>
      </c>
      <c r="J26" s="112">
        <f t="shared" si="0"/>
        <v>29743.495009888728</v>
      </c>
      <c r="K26" s="114"/>
      <c r="M26" s="105" t="s">
        <v>28</v>
      </c>
      <c r="N26" s="34">
        <v>1375</v>
      </c>
      <c r="O26" s="34">
        <v>183055</v>
      </c>
      <c r="P26" s="49">
        <f>AVERAGE(N26:N28)</f>
        <v>1375</v>
      </c>
      <c r="Q26" s="50">
        <f>AVERAGE(O26:O28)</f>
        <v>210475.33333333334</v>
      </c>
      <c r="AA26" s="1"/>
      <c r="AB26" s="1"/>
      <c r="AC26" s="1"/>
    </row>
    <row r="27" spans="1:29" ht="17.25" thickBot="1" x14ac:dyDescent="0.35">
      <c r="A27" s="68">
        <v>44391</v>
      </c>
      <c r="B27" s="68">
        <v>44391</v>
      </c>
      <c r="C27" s="16" t="s">
        <v>24</v>
      </c>
      <c r="D27" s="15" t="s">
        <v>19</v>
      </c>
      <c r="E27" s="15">
        <v>10</v>
      </c>
      <c r="F27" s="15">
        <v>21</v>
      </c>
      <c r="G27" s="16">
        <v>861</v>
      </c>
      <c r="H27" s="16">
        <v>958582</v>
      </c>
      <c r="I27" s="15">
        <f t="shared" si="1"/>
        <v>0.41316654613152082</v>
      </c>
      <c r="J27" s="107">
        <f t="shared" si="0"/>
        <v>9394.0604128540581</v>
      </c>
      <c r="K27" s="113"/>
      <c r="M27" s="105" t="s">
        <v>28</v>
      </c>
      <c r="N27" s="51">
        <v>1375</v>
      </c>
      <c r="O27" s="51">
        <v>223188</v>
      </c>
      <c r="P27" s="52"/>
      <c r="Q27" s="53"/>
      <c r="AA27" s="1"/>
      <c r="AB27" s="1"/>
      <c r="AC27" s="1"/>
    </row>
    <row r="28" spans="1:29" ht="17.25" thickBot="1" x14ac:dyDescent="0.35">
      <c r="A28" s="68">
        <v>44391</v>
      </c>
      <c r="B28" s="68">
        <v>44391</v>
      </c>
      <c r="C28" s="13" t="s">
        <v>24</v>
      </c>
      <c r="D28" s="12" t="s">
        <v>19</v>
      </c>
      <c r="E28" s="12">
        <v>20</v>
      </c>
      <c r="F28" s="12">
        <v>22</v>
      </c>
      <c r="G28" s="13">
        <v>624</v>
      </c>
      <c r="H28" s="13">
        <v>1616891</v>
      </c>
      <c r="I28" s="12">
        <f t="shared" si="1"/>
        <v>-4.7622575367636921E-2</v>
      </c>
      <c r="J28" s="108">
        <f t="shared" si="0"/>
        <v>16123.750820004461</v>
      </c>
      <c r="K28" s="113"/>
      <c r="M28" s="105" t="s">
        <v>28</v>
      </c>
      <c r="N28" s="54">
        <v>1375</v>
      </c>
      <c r="O28" s="54">
        <v>225183</v>
      </c>
      <c r="P28" s="55"/>
      <c r="Q28" s="56"/>
      <c r="AA28" s="1"/>
      <c r="AB28" s="1"/>
      <c r="AC28" s="1"/>
    </row>
    <row r="29" spans="1:29" ht="17.25" thickBot="1" x14ac:dyDescent="0.35">
      <c r="A29" s="68">
        <v>44391</v>
      </c>
      <c r="B29" s="68">
        <v>44391</v>
      </c>
      <c r="C29" s="13" t="s">
        <v>24</v>
      </c>
      <c r="D29" s="12" t="s">
        <v>19</v>
      </c>
      <c r="E29" s="12">
        <v>35</v>
      </c>
      <c r="F29" s="12">
        <v>23</v>
      </c>
      <c r="G29" s="13">
        <v>739</v>
      </c>
      <c r="H29" s="13">
        <v>1918436</v>
      </c>
      <c r="I29" s="12">
        <f t="shared" si="1"/>
        <v>0.17596708274376871</v>
      </c>
      <c r="J29" s="108">
        <f t="shared" si="0"/>
        <v>19206.352597929676</v>
      </c>
      <c r="K29" s="113"/>
      <c r="M29" s="8" t="s">
        <v>29</v>
      </c>
      <c r="N29" s="51">
        <v>916.7</v>
      </c>
      <c r="O29" s="51">
        <v>145392</v>
      </c>
      <c r="P29" s="52">
        <f>AVERAGE(N29:N31)</f>
        <v>916.70000000000016</v>
      </c>
      <c r="Q29" s="53">
        <f>AVERAGE(O29:O31)</f>
        <v>152762.66666666666</v>
      </c>
      <c r="AA29" s="2" t="s">
        <v>15</v>
      </c>
      <c r="AB29" s="1">
        <f>SLOPE(P26:P43,Q26:Q43)</f>
        <v>1.022269239392201E-2</v>
      </c>
      <c r="AC29" s="1"/>
    </row>
    <row r="30" spans="1:29" ht="17.25" thickBot="1" x14ac:dyDescent="0.35">
      <c r="A30" s="68">
        <v>44391</v>
      </c>
      <c r="B30" s="68">
        <v>44391</v>
      </c>
      <c r="C30" s="26" t="s">
        <v>24</v>
      </c>
      <c r="D30" s="22" t="s">
        <v>19</v>
      </c>
      <c r="E30" s="22">
        <v>50</v>
      </c>
      <c r="F30" s="22">
        <v>24</v>
      </c>
      <c r="G30" s="26">
        <v>556</v>
      </c>
      <c r="H30" s="26">
        <v>3320699</v>
      </c>
      <c r="I30" s="22">
        <f t="shared" si="1"/>
        <v>-0.17983211233785923</v>
      </c>
      <c r="J30" s="111">
        <f t="shared" si="0"/>
        <v>33541.255902307938</v>
      </c>
      <c r="K30" s="113"/>
      <c r="M30" s="8" t="s">
        <v>29</v>
      </c>
      <c r="N30" s="51">
        <v>916.7</v>
      </c>
      <c r="O30" s="60">
        <v>156476</v>
      </c>
      <c r="P30" s="61"/>
      <c r="Q30" s="62"/>
      <c r="AA30" s="2" t="s">
        <v>16</v>
      </c>
      <c r="AB30" s="1">
        <f>INTERCEPT(P26:P43,Q26:Q43)</f>
        <v>-405.22850749648978</v>
      </c>
      <c r="AC30" s="1"/>
    </row>
    <row r="31" spans="1:29" ht="17.25" thickBot="1" x14ac:dyDescent="0.35">
      <c r="A31" s="68">
        <v>44391</v>
      </c>
      <c r="B31" s="68">
        <v>44391</v>
      </c>
      <c r="C31" s="16" t="s">
        <v>24</v>
      </c>
      <c r="D31" s="15" t="s">
        <v>20</v>
      </c>
      <c r="E31" s="15">
        <v>10</v>
      </c>
      <c r="F31" s="15">
        <v>25</v>
      </c>
      <c r="G31" s="15">
        <v>869</v>
      </c>
      <c r="H31" s="15">
        <v>2099218</v>
      </c>
      <c r="I31" s="15">
        <f t="shared" si="1"/>
        <v>0.42872060930448819</v>
      </c>
      <c r="J31" s="107">
        <f t="shared" si="0"/>
        <v>21054.431374287684</v>
      </c>
      <c r="K31" s="113"/>
      <c r="M31" s="44" t="s">
        <v>29</v>
      </c>
      <c r="N31" s="60">
        <v>916.7</v>
      </c>
      <c r="O31" s="60">
        <v>156420</v>
      </c>
      <c r="P31" s="61"/>
      <c r="Q31" s="62"/>
      <c r="AA31" s="2" t="s">
        <v>17</v>
      </c>
      <c r="AB31" s="1">
        <f>RSQ(P26:P43,Q26:Q43)</f>
        <v>0.99509701327519329</v>
      </c>
    </row>
    <row r="32" spans="1:29" ht="17.25" thickBot="1" x14ac:dyDescent="0.35">
      <c r="A32" s="68">
        <v>44391</v>
      </c>
      <c r="B32" s="68">
        <v>44391</v>
      </c>
      <c r="C32" s="13" t="s">
        <v>24</v>
      </c>
      <c r="D32" s="12" t="s">
        <v>20</v>
      </c>
      <c r="E32" s="12">
        <v>20</v>
      </c>
      <c r="F32" s="12">
        <v>26</v>
      </c>
      <c r="G32" s="12">
        <v>685</v>
      </c>
      <c r="H32" s="12">
        <v>2310001</v>
      </c>
      <c r="I32" s="12">
        <f t="shared" si="1"/>
        <v>7.0977156326239133E-2</v>
      </c>
      <c r="J32" s="108">
        <f t="shared" si="0"/>
        <v>23209.201145155748</v>
      </c>
      <c r="K32" s="113"/>
      <c r="M32" s="14" t="s">
        <v>30</v>
      </c>
      <c r="N32" s="34">
        <v>550</v>
      </c>
      <c r="O32" s="34">
        <v>97974</v>
      </c>
      <c r="P32" s="49">
        <f>AVERAGE(N32:N34)</f>
        <v>550</v>
      </c>
      <c r="Q32" s="50">
        <f>AVERAGE(O32:O34)</f>
        <v>100022.33333333333</v>
      </c>
      <c r="AA32" s="1"/>
      <c r="AB32" s="1"/>
    </row>
    <row r="33" spans="1:28" ht="17.25" thickBot="1" x14ac:dyDescent="0.35">
      <c r="A33" s="68">
        <v>44391</v>
      </c>
      <c r="B33" s="68">
        <v>44391</v>
      </c>
      <c r="C33" s="13" t="s">
        <v>24</v>
      </c>
      <c r="D33" s="12" t="s">
        <v>20</v>
      </c>
      <c r="E33" s="12">
        <v>35</v>
      </c>
      <c r="F33" s="12">
        <v>27</v>
      </c>
      <c r="G33" s="12">
        <v>655</v>
      </c>
      <c r="H33" s="12">
        <v>3321223</v>
      </c>
      <c r="I33" s="12">
        <f t="shared" si="1"/>
        <v>1.2649419427611663E-2</v>
      </c>
      <c r="J33" s="108">
        <f t="shared" si="0"/>
        <v>33546.612593122351</v>
      </c>
      <c r="K33" s="113"/>
      <c r="M33" s="8" t="s">
        <v>30</v>
      </c>
      <c r="N33" s="51">
        <v>550</v>
      </c>
      <c r="O33" s="51">
        <v>100416</v>
      </c>
      <c r="P33" s="52"/>
      <c r="Q33" s="53"/>
      <c r="AA33" s="1"/>
      <c r="AB33" s="1"/>
    </row>
    <row r="34" spans="1:28" ht="17.25" thickBot="1" x14ac:dyDescent="0.35">
      <c r="A34" s="68">
        <v>44391</v>
      </c>
      <c r="B34" s="68">
        <v>44391</v>
      </c>
      <c r="C34" s="13" t="s">
        <v>24</v>
      </c>
      <c r="D34" s="12" t="s">
        <v>20</v>
      </c>
      <c r="E34" s="12">
        <v>50</v>
      </c>
      <c r="F34" s="12">
        <v>28</v>
      </c>
      <c r="G34" s="12">
        <v>587</v>
      </c>
      <c r="H34" s="12">
        <v>4853954</v>
      </c>
      <c r="I34" s="12">
        <f t="shared" si="1"/>
        <v>-0.11956011754261087</v>
      </c>
      <c r="J34" s="108">
        <f t="shared" si="0"/>
        <v>49215.250128750828</v>
      </c>
      <c r="K34" s="113"/>
      <c r="M34" s="10" t="s">
        <v>30</v>
      </c>
      <c r="N34" s="54">
        <v>550</v>
      </c>
      <c r="O34" s="54">
        <v>101677</v>
      </c>
      <c r="P34" s="55"/>
      <c r="Q34" s="56"/>
      <c r="AA34" s="1"/>
      <c r="AB34" s="1"/>
    </row>
    <row r="35" spans="1:28" ht="17.25" thickBot="1" x14ac:dyDescent="0.35">
      <c r="A35" s="68">
        <v>44391</v>
      </c>
      <c r="B35" s="68">
        <v>44391</v>
      </c>
      <c r="C35" s="27" t="s">
        <v>24</v>
      </c>
      <c r="D35" s="20" t="s">
        <v>21</v>
      </c>
      <c r="E35" s="20">
        <v>10</v>
      </c>
      <c r="F35" s="20">
        <v>29</v>
      </c>
      <c r="G35" s="20">
        <v>1032</v>
      </c>
      <c r="H35" s="20">
        <v>923798</v>
      </c>
      <c r="I35" s="20">
        <f t="shared" si="1"/>
        <v>0.74563464645369804</v>
      </c>
      <c r="J35" s="109">
        <f t="shared" si="0"/>
        <v>9038.4742806238755</v>
      </c>
      <c r="K35" s="114"/>
      <c r="M35" s="6" t="s">
        <v>31</v>
      </c>
      <c r="N35" s="57">
        <v>275</v>
      </c>
      <c r="O35" s="57">
        <v>58768</v>
      </c>
      <c r="P35" s="58">
        <f>AVERAGE(N35:N37)</f>
        <v>275</v>
      </c>
      <c r="Q35" s="59">
        <f>AVERAGE(O35:O37)</f>
        <v>64520.666666666664</v>
      </c>
      <c r="AA35" s="1"/>
      <c r="AB35" s="1"/>
    </row>
    <row r="36" spans="1:28" ht="17.25" thickBot="1" x14ac:dyDescent="0.35">
      <c r="A36" s="68">
        <v>44391</v>
      </c>
      <c r="B36" s="68">
        <v>44391</v>
      </c>
      <c r="C36" s="23" t="s">
        <v>24</v>
      </c>
      <c r="D36" s="21" t="s">
        <v>21</v>
      </c>
      <c r="E36" s="21">
        <v>20</v>
      </c>
      <c r="F36" s="21">
        <v>30</v>
      </c>
      <c r="G36" s="21">
        <v>670</v>
      </c>
      <c r="H36" s="21">
        <v>1299180</v>
      </c>
      <c r="I36" s="21">
        <f t="shared" si="1"/>
        <v>4.1813287876925509E-2</v>
      </c>
      <c r="J36" s="110">
        <f t="shared" si="0"/>
        <v>12875.888996839107</v>
      </c>
      <c r="K36" s="114"/>
      <c r="M36" s="8" t="s">
        <v>31</v>
      </c>
      <c r="N36" s="51">
        <v>275</v>
      </c>
      <c r="O36" s="51">
        <v>75245</v>
      </c>
      <c r="P36" s="52"/>
      <c r="Q36" s="53"/>
    </row>
    <row r="37" spans="1:28" ht="17.25" thickBot="1" x14ac:dyDescent="0.35">
      <c r="A37" s="68">
        <v>44391</v>
      </c>
      <c r="B37" s="68">
        <v>44391</v>
      </c>
      <c r="C37" s="23" t="s">
        <v>24</v>
      </c>
      <c r="D37" s="21" t="s">
        <v>21</v>
      </c>
      <c r="E37" s="21">
        <v>35</v>
      </c>
      <c r="F37" s="21">
        <v>31</v>
      </c>
      <c r="G37" s="21">
        <v>679</v>
      </c>
      <c r="H37" s="21">
        <v>1628317</v>
      </c>
      <c r="I37" s="21">
        <f t="shared" si="1"/>
        <v>5.9311608946513772E-2</v>
      </c>
      <c r="J37" s="110">
        <f t="shared" si="0"/>
        <v>16240.555303297417</v>
      </c>
      <c r="K37" s="114"/>
      <c r="M37" s="44" t="s">
        <v>31</v>
      </c>
      <c r="N37" s="60">
        <v>275</v>
      </c>
      <c r="O37" s="60">
        <v>59549</v>
      </c>
      <c r="P37" s="61"/>
      <c r="Q37" s="62"/>
    </row>
    <row r="38" spans="1:28" ht="17.25" thickBot="1" x14ac:dyDescent="0.35">
      <c r="A38" s="68">
        <v>44391</v>
      </c>
      <c r="B38" s="68">
        <v>44391</v>
      </c>
      <c r="C38" s="25" t="s">
        <v>24</v>
      </c>
      <c r="D38" s="24" t="s">
        <v>21</v>
      </c>
      <c r="E38" s="24">
        <v>50</v>
      </c>
      <c r="F38" s="24">
        <v>32</v>
      </c>
      <c r="G38" s="24">
        <v>525</v>
      </c>
      <c r="H38" s="24">
        <v>3298315</v>
      </c>
      <c r="I38" s="24">
        <f t="shared" si="1"/>
        <v>-0.24010410713310781</v>
      </c>
      <c r="J38" s="112">
        <f t="shared" si="0"/>
        <v>33312.431155762388</v>
      </c>
      <c r="K38" s="114"/>
      <c r="M38" s="14" t="s">
        <v>32</v>
      </c>
      <c r="N38" s="34">
        <v>91.7</v>
      </c>
      <c r="O38" s="34">
        <v>27798</v>
      </c>
      <c r="P38" s="49">
        <f>AVERAGE(N38:N40)</f>
        <v>91.7</v>
      </c>
      <c r="Q38" s="50">
        <f>AVERAGE(O38:O40)</f>
        <v>27514.333333333332</v>
      </c>
    </row>
    <row r="39" spans="1:28" ht="17.25" thickBot="1" x14ac:dyDescent="0.35">
      <c r="A39" s="68">
        <v>44391</v>
      </c>
      <c r="B39" s="68">
        <v>44391</v>
      </c>
      <c r="C39" s="16" t="s">
        <v>24</v>
      </c>
      <c r="D39" s="15" t="s">
        <v>22</v>
      </c>
      <c r="E39" s="15">
        <v>10</v>
      </c>
      <c r="F39" s="15">
        <v>33</v>
      </c>
      <c r="G39" s="15">
        <v>969</v>
      </c>
      <c r="H39" s="15">
        <v>1064789</v>
      </c>
      <c r="I39" s="15">
        <f t="shared" si="1"/>
        <v>0.6231463989665802</v>
      </c>
      <c r="J39" s="107">
        <f t="shared" ref="J39:J66" si="2">(H39*$AB$29)+$AB$30</f>
        <v>10479.781903935334</v>
      </c>
      <c r="K39" s="113"/>
      <c r="M39" s="14" t="s">
        <v>32</v>
      </c>
      <c r="N39" s="51">
        <v>91.7</v>
      </c>
      <c r="O39" s="51">
        <v>27393</v>
      </c>
      <c r="P39" s="52"/>
      <c r="Q39" s="53"/>
    </row>
    <row r="40" spans="1:28" ht="17.25" thickBot="1" x14ac:dyDescent="0.35">
      <c r="A40" s="68">
        <v>44391</v>
      </c>
      <c r="B40" s="68">
        <v>44391</v>
      </c>
      <c r="C40" s="13" t="s">
        <v>24</v>
      </c>
      <c r="D40" s="12" t="s">
        <v>22</v>
      </c>
      <c r="E40" s="12">
        <v>20</v>
      </c>
      <c r="F40" s="12">
        <v>34</v>
      </c>
      <c r="G40" s="12">
        <v>942</v>
      </c>
      <c r="H40" s="12">
        <v>1922842</v>
      </c>
      <c r="I40" s="12">
        <f t="shared" si="1"/>
        <v>0.57065143575781541</v>
      </c>
      <c r="J40" s="108">
        <f t="shared" si="2"/>
        <v>19251.393780617294</v>
      </c>
      <c r="K40" s="113"/>
      <c r="M40" s="14" t="s">
        <v>32</v>
      </c>
      <c r="N40" s="60">
        <v>91.7</v>
      </c>
      <c r="O40" s="60">
        <v>27352</v>
      </c>
      <c r="P40" s="60"/>
      <c r="Q40" s="65"/>
    </row>
    <row r="41" spans="1:28" ht="17.25" thickBot="1" x14ac:dyDescent="0.35">
      <c r="A41" s="68">
        <v>44391</v>
      </c>
      <c r="B41" s="68">
        <v>44391</v>
      </c>
      <c r="C41" s="13" t="s">
        <v>24</v>
      </c>
      <c r="D41" s="12" t="s">
        <v>22</v>
      </c>
      <c r="E41" s="12">
        <v>35</v>
      </c>
      <c r="F41" s="12">
        <v>35</v>
      </c>
      <c r="G41" s="12">
        <v>806</v>
      </c>
      <c r="H41" s="12">
        <v>1843222</v>
      </c>
      <c r="I41" s="12">
        <f t="shared" si="1"/>
        <v>0.30623236181737035</v>
      </c>
      <c r="J41" s="108">
        <f t="shared" si="2"/>
        <v>18437.463012213226</v>
      </c>
      <c r="K41" s="113"/>
      <c r="M41" s="14" t="s">
        <v>36</v>
      </c>
      <c r="N41" s="34">
        <v>2500</v>
      </c>
      <c r="O41" s="66">
        <v>259588</v>
      </c>
      <c r="P41" s="66">
        <f>AVERAGE(N41:N41)</f>
        <v>2500</v>
      </c>
      <c r="Q41" s="67">
        <f>AVERAGE(O41)</f>
        <v>259588</v>
      </c>
    </row>
    <row r="42" spans="1:28" ht="17.25" thickBot="1" x14ac:dyDescent="0.35">
      <c r="A42" s="68">
        <v>44391</v>
      </c>
      <c r="B42" s="68">
        <v>44391</v>
      </c>
      <c r="C42" s="26" t="s">
        <v>24</v>
      </c>
      <c r="D42" s="22" t="s">
        <v>22</v>
      </c>
      <c r="E42" s="22">
        <v>50</v>
      </c>
      <c r="F42" s="22">
        <v>36</v>
      </c>
      <c r="G42" s="22">
        <v>736</v>
      </c>
      <c r="H42" s="22">
        <v>2765293</v>
      </c>
      <c r="I42" s="22">
        <f t="shared" si="1"/>
        <v>0.17013430905390603</v>
      </c>
      <c r="J42" s="111">
        <f t="shared" si="2"/>
        <v>27863.511210569286</v>
      </c>
      <c r="K42" s="113"/>
      <c r="M42" s="102" t="s">
        <v>46</v>
      </c>
      <c r="N42" s="103">
        <v>5000</v>
      </c>
      <c r="O42" s="104">
        <v>501432</v>
      </c>
      <c r="P42" s="66">
        <f>AVERAGE(N42:N42)</f>
        <v>5000</v>
      </c>
      <c r="Q42" s="67">
        <f t="shared" ref="Q42:Q43" si="3">AVERAGE(O42)</f>
        <v>501432</v>
      </c>
    </row>
    <row r="43" spans="1:28" ht="17.25" thickBot="1" x14ac:dyDescent="0.35">
      <c r="A43" s="68">
        <v>44391</v>
      </c>
      <c r="B43" s="68">
        <v>44391</v>
      </c>
      <c r="C43" s="16" t="s">
        <v>24</v>
      </c>
      <c r="D43" s="15" t="s">
        <v>23</v>
      </c>
      <c r="E43" s="15">
        <v>10</v>
      </c>
      <c r="F43" s="15">
        <v>37</v>
      </c>
      <c r="G43" s="15">
        <v>953</v>
      </c>
      <c r="H43" s="15">
        <v>860994</v>
      </c>
      <c r="I43" s="15">
        <f t="shared" si="1"/>
        <v>0.59203827262064546</v>
      </c>
      <c r="J43" s="107">
        <f t="shared" si="2"/>
        <v>8396.4483075159969</v>
      </c>
      <c r="K43" s="113"/>
      <c r="M43" s="70" t="s">
        <v>34</v>
      </c>
      <c r="N43" s="71">
        <v>10000</v>
      </c>
      <c r="O43" s="72">
        <v>1026534</v>
      </c>
      <c r="P43" s="119">
        <f>N43</f>
        <v>10000</v>
      </c>
      <c r="Q43" s="120">
        <f t="shared" si="3"/>
        <v>1026534</v>
      </c>
    </row>
    <row r="44" spans="1:28" ht="17.25" thickBot="1" x14ac:dyDescent="0.35">
      <c r="A44" s="68">
        <v>44391</v>
      </c>
      <c r="B44" s="68">
        <v>44391</v>
      </c>
      <c r="C44" s="13" t="s">
        <v>24</v>
      </c>
      <c r="D44" s="12" t="s">
        <v>23</v>
      </c>
      <c r="E44" s="12">
        <v>20</v>
      </c>
      <c r="F44" s="12">
        <v>38</v>
      </c>
      <c r="G44" s="12">
        <v>651</v>
      </c>
      <c r="H44" s="12">
        <v>1719172</v>
      </c>
      <c r="I44" s="12">
        <f t="shared" si="1"/>
        <v>4.8723878411278676E-3</v>
      </c>
      <c r="J44" s="108">
        <f t="shared" si="2"/>
        <v>17169.3380207472</v>
      </c>
      <c r="K44" s="113"/>
    </row>
    <row r="45" spans="1:28" ht="17.25" thickBot="1" x14ac:dyDescent="0.35">
      <c r="A45" s="68">
        <v>44391</v>
      </c>
      <c r="B45" s="68">
        <v>44391</v>
      </c>
      <c r="C45" s="13" t="s">
        <v>24</v>
      </c>
      <c r="D45" s="12" t="s">
        <v>23</v>
      </c>
      <c r="E45" s="12">
        <v>35</v>
      </c>
      <c r="F45" s="12">
        <v>39</v>
      </c>
      <c r="G45" s="12">
        <v>571</v>
      </c>
      <c r="H45" s="12">
        <v>2154761</v>
      </c>
      <c r="I45" s="12">
        <f t="shared" si="1"/>
        <v>-0.15066824388854561</v>
      </c>
      <c r="J45" s="108">
        <f t="shared" si="2"/>
        <v>21622.230377923293</v>
      </c>
      <c r="K45" s="113"/>
      <c r="M45" s="1"/>
      <c r="N45" s="69"/>
    </row>
    <row r="46" spans="1:28" ht="17.25" thickBot="1" x14ac:dyDescent="0.35">
      <c r="A46" s="68">
        <v>44391</v>
      </c>
      <c r="B46" s="68">
        <v>44391</v>
      </c>
      <c r="C46" s="13" t="s">
        <v>24</v>
      </c>
      <c r="D46" s="12" t="s">
        <v>23</v>
      </c>
      <c r="E46" s="12">
        <v>50</v>
      </c>
      <c r="F46" s="12">
        <v>40</v>
      </c>
      <c r="G46" s="12">
        <v>551</v>
      </c>
      <c r="H46" s="12">
        <v>2837679</v>
      </c>
      <c r="I46" s="12">
        <f t="shared" si="1"/>
        <v>-0.18955340182096392</v>
      </c>
      <c r="J46" s="108">
        <f t="shared" si="2"/>
        <v>28603.491022195725</v>
      </c>
      <c r="K46" s="113"/>
    </row>
    <row r="47" spans="1:28" ht="17.25" thickBot="1" x14ac:dyDescent="0.35">
      <c r="A47" s="68">
        <v>44391</v>
      </c>
      <c r="B47" s="68">
        <v>44391</v>
      </c>
      <c r="C47" s="20" t="s">
        <v>25</v>
      </c>
      <c r="D47" s="20" t="s">
        <v>19</v>
      </c>
      <c r="E47" s="20">
        <v>10</v>
      </c>
      <c r="F47" s="20">
        <v>41</v>
      </c>
      <c r="G47" s="20">
        <v>957</v>
      </c>
      <c r="H47" s="20">
        <v>435419</v>
      </c>
      <c r="I47" s="20">
        <f t="shared" si="1"/>
        <v>0.59981530420712903</v>
      </c>
      <c r="J47" s="109">
        <f t="shared" si="2"/>
        <v>4045.9259919726378</v>
      </c>
      <c r="K47" s="114"/>
    </row>
    <row r="48" spans="1:28" ht="17.25" thickBot="1" x14ac:dyDescent="0.35">
      <c r="A48" s="68">
        <v>44391</v>
      </c>
      <c r="B48" s="68">
        <v>44391</v>
      </c>
      <c r="C48" s="21" t="s">
        <v>25</v>
      </c>
      <c r="D48" s="21" t="s">
        <v>19</v>
      </c>
      <c r="E48" s="21">
        <v>20</v>
      </c>
      <c r="F48" s="21">
        <v>42</v>
      </c>
      <c r="G48" s="21">
        <v>607</v>
      </c>
      <c r="H48" s="21">
        <v>1667941</v>
      </c>
      <c r="I48" s="21">
        <f t="shared" si="1"/>
        <v>-8.0674959610192554E-2</v>
      </c>
      <c r="J48" s="110">
        <f t="shared" si="2"/>
        <v>16645.61926671418</v>
      </c>
      <c r="K48" s="114"/>
    </row>
    <row r="49" spans="1:18" ht="17.25" thickBot="1" x14ac:dyDescent="0.35">
      <c r="A49" s="68">
        <v>44391</v>
      </c>
      <c r="B49" s="68">
        <v>44391</v>
      </c>
      <c r="C49" s="21" t="s">
        <v>25</v>
      </c>
      <c r="D49" s="21" t="s">
        <v>19</v>
      </c>
      <c r="E49" s="21">
        <v>35</v>
      </c>
      <c r="F49" s="21">
        <v>43</v>
      </c>
      <c r="G49" s="21">
        <v>538</v>
      </c>
      <c r="H49" s="21">
        <v>1899533</v>
      </c>
      <c r="I49" s="21">
        <f t="shared" si="1"/>
        <v>-0.21482875447703598</v>
      </c>
      <c r="J49" s="110">
        <f t="shared" si="2"/>
        <v>19013.113043607369</v>
      </c>
      <c r="K49" s="114"/>
    </row>
    <row r="50" spans="1:18" ht="17.25" thickBot="1" x14ac:dyDescent="0.35">
      <c r="A50" s="68">
        <v>44391</v>
      </c>
      <c r="B50" s="68">
        <v>44391</v>
      </c>
      <c r="C50" s="21" t="s">
        <v>25</v>
      </c>
      <c r="D50" s="21" t="s">
        <v>19</v>
      </c>
      <c r="E50" s="21">
        <v>50</v>
      </c>
      <c r="F50" s="21">
        <v>44</v>
      </c>
      <c r="G50" s="21">
        <v>590</v>
      </c>
      <c r="H50" s="21">
        <v>2881362</v>
      </c>
      <c r="I50" s="21">
        <f t="shared" si="1"/>
        <v>-0.11372734385274819</v>
      </c>
      <c r="J50" s="110">
        <f t="shared" si="2"/>
        <v>29050.048894039421</v>
      </c>
      <c r="K50" s="114"/>
    </row>
    <row r="51" spans="1:18" ht="17.25" thickBot="1" x14ac:dyDescent="0.35">
      <c r="A51" s="68">
        <v>44391</v>
      </c>
      <c r="B51" s="68">
        <v>44391</v>
      </c>
      <c r="C51" s="15" t="s">
        <v>25</v>
      </c>
      <c r="D51" s="15" t="s">
        <v>20</v>
      </c>
      <c r="E51" s="15">
        <v>10</v>
      </c>
      <c r="F51" s="15">
        <v>45</v>
      </c>
      <c r="G51" s="15">
        <v>1007</v>
      </c>
      <c r="H51" s="15">
        <v>948447</v>
      </c>
      <c r="I51" s="15">
        <f t="shared" si="1"/>
        <v>0.69702819903817503</v>
      </c>
      <c r="J51" s="107">
        <f t="shared" si="2"/>
        <v>9290.4534254416594</v>
      </c>
      <c r="K51" s="113"/>
    </row>
    <row r="52" spans="1:18" ht="17.25" thickBot="1" x14ac:dyDescent="0.35">
      <c r="A52" s="68">
        <v>44391</v>
      </c>
      <c r="B52" s="68">
        <v>44391</v>
      </c>
      <c r="C52" s="12" t="s">
        <v>25</v>
      </c>
      <c r="D52" s="12" t="s">
        <v>20</v>
      </c>
      <c r="E52" s="12">
        <v>20</v>
      </c>
      <c r="F52" s="12">
        <v>46</v>
      </c>
      <c r="G52" s="12">
        <v>642</v>
      </c>
      <c r="H52" s="12">
        <v>2243850</v>
      </c>
      <c r="I52" s="12">
        <f t="shared" si="1"/>
        <v>-1.2625933228460395E-2</v>
      </c>
      <c r="J52" s="108">
        <f t="shared" si="2"/>
        <v>22532.959820605411</v>
      </c>
      <c r="K52" s="113"/>
    </row>
    <row r="53" spans="1:18" ht="17.25" thickBot="1" x14ac:dyDescent="0.35">
      <c r="A53" s="68">
        <v>44391</v>
      </c>
      <c r="B53" s="68">
        <v>44391</v>
      </c>
      <c r="C53" s="12" t="s">
        <v>25</v>
      </c>
      <c r="D53" s="12" t="s">
        <v>20</v>
      </c>
      <c r="E53" s="12">
        <v>35</v>
      </c>
      <c r="F53" s="12">
        <v>47</v>
      </c>
      <c r="G53" s="12">
        <v>512</v>
      </c>
      <c r="H53" s="12">
        <v>2649195</v>
      </c>
      <c r="I53" s="12">
        <f t="shared" si="1"/>
        <v>-0.26537945978917976</v>
      </c>
      <c r="J53" s="108">
        <f t="shared" si="2"/>
        <v>26676.67706901973</v>
      </c>
      <c r="K53" s="113"/>
    </row>
    <row r="54" spans="1:18" ht="17.25" thickBot="1" x14ac:dyDescent="0.35">
      <c r="A54" s="68">
        <v>44391</v>
      </c>
      <c r="B54" s="68">
        <v>44391</v>
      </c>
      <c r="C54" s="22" t="s">
        <v>25</v>
      </c>
      <c r="D54" s="22" t="s">
        <v>20</v>
      </c>
      <c r="E54" s="22">
        <v>50</v>
      </c>
      <c r="F54" s="22">
        <v>48</v>
      </c>
      <c r="G54" s="22">
        <v>575</v>
      </c>
      <c r="H54" s="22">
        <v>2572988</v>
      </c>
      <c r="I54" s="22">
        <f t="shared" si="1"/>
        <v>-0.14289121230206181</v>
      </c>
      <c r="J54" s="111">
        <f t="shared" si="2"/>
        <v>25897.636349756114</v>
      </c>
      <c r="K54" s="113"/>
    </row>
    <row r="55" spans="1:18" ht="17.25" thickBot="1" x14ac:dyDescent="0.35">
      <c r="A55" s="68">
        <v>44391</v>
      </c>
      <c r="B55" s="68">
        <v>44391</v>
      </c>
      <c r="C55" s="15" t="s">
        <v>25</v>
      </c>
      <c r="D55" s="15" t="s">
        <v>21</v>
      </c>
      <c r="E55" s="15">
        <v>10</v>
      </c>
      <c r="F55" s="15">
        <v>49</v>
      </c>
      <c r="G55" s="15">
        <v>959</v>
      </c>
      <c r="H55" s="15">
        <v>1676347</v>
      </c>
      <c r="I55" s="15">
        <f t="shared" si="1"/>
        <v>0.60370382000037104</v>
      </c>
      <c r="J55" s="107">
        <f t="shared" si="2"/>
        <v>16731.551218977489</v>
      </c>
      <c r="K55" s="113"/>
    </row>
    <row r="56" spans="1:18" ht="17.25" thickBot="1" x14ac:dyDescent="0.35">
      <c r="A56" s="68">
        <v>44391</v>
      </c>
      <c r="B56" s="68">
        <v>44391</v>
      </c>
      <c r="C56" s="12" t="s">
        <v>25</v>
      </c>
      <c r="D56" s="12" t="s">
        <v>21</v>
      </c>
      <c r="E56" s="12">
        <v>20</v>
      </c>
      <c r="F56" s="12">
        <v>50</v>
      </c>
      <c r="G56" s="12">
        <v>539</v>
      </c>
      <c r="H56" s="12">
        <v>3946382</v>
      </c>
      <c r="I56" s="12">
        <f t="shared" si="1"/>
        <v>-0.21288449658041486</v>
      </c>
      <c r="J56" s="108">
        <f t="shared" si="2"/>
        <v>39937.420747414239</v>
      </c>
      <c r="K56" s="113"/>
      <c r="O56" s="63"/>
      <c r="P56" s="63"/>
      <c r="Q56" s="63"/>
      <c r="R56" s="63"/>
    </row>
    <row r="57" spans="1:18" ht="17.25" thickBot="1" x14ac:dyDescent="0.35">
      <c r="A57" s="68">
        <v>44391</v>
      </c>
      <c r="B57" s="68">
        <v>44391</v>
      </c>
      <c r="C57" s="12" t="s">
        <v>25</v>
      </c>
      <c r="D57" s="12" t="s">
        <v>21</v>
      </c>
      <c r="E57" s="12">
        <v>35</v>
      </c>
      <c r="F57" s="12">
        <v>51</v>
      </c>
      <c r="G57" s="12">
        <v>696</v>
      </c>
      <c r="H57" s="12">
        <v>3080220</v>
      </c>
      <c r="I57" s="12">
        <f t="shared" si="1"/>
        <v>9.2363993189069404E-2</v>
      </c>
      <c r="J57" s="108">
        <f t="shared" si="2"/>
        <v>31082.913058109963</v>
      </c>
      <c r="K57" s="113"/>
      <c r="O57" s="1"/>
      <c r="P57" s="1"/>
      <c r="Q57" s="1"/>
    </row>
    <row r="58" spans="1:18" ht="17.25" thickBot="1" x14ac:dyDescent="0.35">
      <c r="A58" s="68">
        <v>44391</v>
      </c>
      <c r="B58" s="68">
        <v>44391</v>
      </c>
      <c r="C58" s="22" t="s">
        <v>25</v>
      </c>
      <c r="D58" s="22" t="s">
        <v>21</v>
      </c>
      <c r="E58" s="22">
        <v>50</v>
      </c>
      <c r="F58" s="22">
        <v>52</v>
      </c>
      <c r="G58" s="22">
        <v>515</v>
      </c>
      <c r="H58" s="22">
        <v>5179030</v>
      </c>
      <c r="I58" s="22">
        <f t="shared" si="1"/>
        <v>-0.25954668609931697</v>
      </c>
      <c r="J58" s="111">
        <f t="shared" si="2"/>
        <v>52538.40208139742</v>
      </c>
      <c r="K58" s="113"/>
      <c r="O58" s="1"/>
      <c r="P58" s="1"/>
      <c r="Q58" s="1"/>
    </row>
    <row r="59" spans="1:18" ht="17.25" thickBot="1" x14ac:dyDescent="0.35">
      <c r="A59" s="68">
        <v>44391</v>
      </c>
      <c r="B59" s="68">
        <v>44391</v>
      </c>
      <c r="C59" s="20" t="s">
        <v>25</v>
      </c>
      <c r="D59" s="20" t="s">
        <v>22</v>
      </c>
      <c r="E59" s="20">
        <v>10</v>
      </c>
      <c r="F59" s="20">
        <v>53</v>
      </c>
      <c r="G59" s="20">
        <v>1056</v>
      </c>
      <c r="H59" s="20">
        <v>425497</v>
      </c>
      <c r="I59" s="20">
        <f t="shared" si="1"/>
        <v>0.79229683597259992</v>
      </c>
      <c r="J59" s="109">
        <f t="shared" si="2"/>
        <v>3944.4964380401439</v>
      </c>
      <c r="K59" s="114"/>
      <c r="O59" s="1"/>
      <c r="P59" s="1"/>
      <c r="Q59" s="1"/>
    </row>
    <row r="60" spans="1:18" ht="17.25" thickBot="1" x14ac:dyDescent="0.35">
      <c r="A60" s="68">
        <v>44391</v>
      </c>
      <c r="B60" s="68">
        <v>44391</v>
      </c>
      <c r="C60" s="21" t="s">
        <v>25</v>
      </c>
      <c r="D60" s="21" t="s">
        <v>22</v>
      </c>
      <c r="E60" s="21">
        <v>20</v>
      </c>
      <c r="F60" s="21">
        <v>54</v>
      </c>
      <c r="G60" s="21">
        <v>554</v>
      </c>
      <c r="H60" s="21">
        <v>1707812</v>
      </c>
      <c r="I60" s="21">
        <f t="shared" si="1"/>
        <v>-0.18372062813110124</v>
      </c>
      <c r="J60" s="110">
        <f t="shared" si="2"/>
        <v>17053.208235152248</v>
      </c>
      <c r="K60" s="114"/>
      <c r="O60" s="1"/>
      <c r="P60" s="1"/>
      <c r="Q60" s="1"/>
    </row>
    <row r="61" spans="1:18" ht="17.25" thickBot="1" x14ac:dyDescent="0.35">
      <c r="A61" s="68">
        <v>44391</v>
      </c>
      <c r="B61" s="68">
        <v>44391</v>
      </c>
      <c r="C61" s="21" t="s">
        <v>25</v>
      </c>
      <c r="D61" s="21" t="s">
        <v>22</v>
      </c>
      <c r="E61" s="21">
        <v>35</v>
      </c>
      <c r="F61" s="21">
        <v>55</v>
      </c>
      <c r="G61" s="21">
        <v>535</v>
      </c>
      <c r="H61" s="21">
        <v>1975229</v>
      </c>
      <c r="I61" s="21">
        <f t="shared" si="1"/>
        <v>-0.22066152816689866</v>
      </c>
      <c r="J61" s="110">
        <f t="shared" si="2"/>
        <v>19786.929967057687</v>
      </c>
      <c r="K61" s="114"/>
      <c r="O61" s="1"/>
      <c r="P61" s="1"/>
      <c r="Q61" s="1"/>
    </row>
    <row r="62" spans="1:18" ht="17.25" thickBot="1" x14ac:dyDescent="0.35">
      <c r="A62" s="68">
        <v>44391</v>
      </c>
      <c r="B62" s="68">
        <v>44391</v>
      </c>
      <c r="C62" s="24" t="s">
        <v>25</v>
      </c>
      <c r="D62" s="24" t="s">
        <v>22</v>
      </c>
      <c r="E62" s="24">
        <v>50</v>
      </c>
      <c r="F62" s="24">
        <v>56</v>
      </c>
      <c r="G62" s="24">
        <v>438</v>
      </c>
      <c r="H62" s="24">
        <v>2251841</v>
      </c>
      <c r="I62" s="24">
        <f t="shared" si="1"/>
        <v>-0.40925454413912776</v>
      </c>
      <c r="J62" s="112">
        <f t="shared" si="2"/>
        <v>22614.649355525242</v>
      </c>
      <c r="K62" s="114"/>
      <c r="O62" s="1"/>
      <c r="P62" s="1"/>
      <c r="Q62" s="1"/>
    </row>
    <row r="63" spans="1:18" ht="17.25" thickBot="1" x14ac:dyDescent="0.35">
      <c r="A63" s="68">
        <v>44391</v>
      </c>
      <c r="B63" s="68">
        <v>44391</v>
      </c>
      <c r="C63" s="15" t="s">
        <v>25</v>
      </c>
      <c r="D63" s="15" t="s">
        <v>23</v>
      </c>
      <c r="E63" s="15">
        <v>10</v>
      </c>
      <c r="F63" s="15">
        <v>57</v>
      </c>
      <c r="G63" s="15">
        <v>812</v>
      </c>
      <c r="H63" s="15">
        <v>1619097</v>
      </c>
      <c r="I63" s="15">
        <f t="shared" si="1"/>
        <v>0.31789790919709593</v>
      </c>
      <c r="J63" s="107">
        <f t="shared" si="2"/>
        <v>16146.302079425455</v>
      </c>
      <c r="K63" s="113"/>
      <c r="O63" s="1"/>
      <c r="P63" s="1"/>
      <c r="Q63" s="1"/>
    </row>
    <row r="64" spans="1:18" ht="17.25" thickBot="1" x14ac:dyDescent="0.35">
      <c r="A64" s="68">
        <v>44391</v>
      </c>
      <c r="B64" s="68">
        <v>44391</v>
      </c>
      <c r="C64" s="12" t="s">
        <v>25</v>
      </c>
      <c r="D64" s="12" t="s">
        <v>23</v>
      </c>
      <c r="E64" s="12">
        <v>20</v>
      </c>
      <c r="F64" s="12">
        <v>58</v>
      </c>
      <c r="G64" s="12">
        <v>618</v>
      </c>
      <c r="H64" s="12">
        <v>2358901</v>
      </c>
      <c r="I64" s="12">
        <f t="shared" si="1"/>
        <v>-5.9288122747362282E-2</v>
      </c>
      <c r="J64" s="108">
        <f t="shared" si="2"/>
        <v>23709.090803218533</v>
      </c>
      <c r="K64" s="113"/>
      <c r="O64" s="1"/>
      <c r="P64" s="1"/>
      <c r="Q64" s="1"/>
    </row>
    <row r="65" spans="1:17" ht="17.25" thickBot="1" x14ac:dyDescent="0.35">
      <c r="A65" s="68">
        <v>44391</v>
      </c>
      <c r="B65" s="68">
        <v>44391</v>
      </c>
      <c r="C65" s="12" t="s">
        <v>25</v>
      </c>
      <c r="D65" s="12" t="s">
        <v>23</v>
      </c>
      <c r="E65" s="12">
        <v>35</v>
      </c>
      <c r="F65" s="12">
        <v>59</v>
      </c>
      <c r="G65" s="12">
        <v>463</v>
      </c>
      <c r="H65" s="12">
        <v>3474484</v>
      </c>
      <c r="I65" s="12">
        <f t="shared" si="1"/>
        <v>-0.36064809672360476</v>
      </c>
      <c r="J65" s="108">
        <f t="shared" si="2"/>
        <v>35113.352652107234</v>
      </c>
      <c r="K65" s="113"/>
      <c r="O65" s="1"/>
      <c r="P65" s="1"/>
      <c r="Q65" s="1"/>
    </row>
    <row r="66" spans="1:17" ht="17.25" thickBot="1" x14ac:dyDescent="0.35">
      <c r="A66" s="68">
        <v>44391</v>
      </c>
      <c r="B66" s="68">
        <v>44391</v>
      </c>
      <c r="C66" s="12" t="s">
        <v>25</v>
      </c>
      <c r="D66" s="12" t="s">
        <v>23</v>
      </c>
      <c r="E66" s="12">
        <v>50</v>
      </c>
      <c r="F66" s="12">
        <v>60</v>
      </c>
      <c r="G66" s="12">
        <v>490</v>
      </c>
      <c r="H66" s="12">
        <v>3642019</v>
      </c>
      <c r="I66" s="12">
        <f t="shared" si="1"/>
        <v>-0.30815313351483997</v>
      </c>
      <c r="J66" s="108">
        <f t="shared" si="2"/>
        <v>36826.011422322954</v>
      </c>
      <c r="K66" s="116"/>
      <c r="O66" s="1"/>
      <c r="P66" s="1"/>
      <c r="Q66" s="1"/>
    </row>
  </sheetData>
  <pageMargins left="0.7" right="0.7" top="0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DAFD-F80A-48DD-AB0E-7888925DA5C7}">
  <dimension ref="A1:O62"/>
  <sheetViews>
    <sheetView zoomScale="70" zoomScaleNormal="70" workbookViewId="0">
      <selection activeCell="H5" sqref="H5"/>
    </sheetView>
  </sheetViews>
  <sheetFormatPr defaultRowHeight="15" x14ac:dyDescent="0.25"/>
  <cols>
    <col min="1" max="3" width="11.140625" customWidth="1"/>
    <col min="9" max="9" width="2.7109375" customWidth="1"/>
  </cols>
  <sheetData>
    <row r="1" spans="1:15" ht="33.75" thickBot="1" x14ac:dyDescent="0.35">
      <c r="A1" s="76" t="s">
        <v>1</v>
      </c>
      <c r="B1" s="77" t="s">
        <v>5</v>
      </c>
      <c r="C1" s="77" t="s">
        <v>2</v>
      </c>
      <c r="D1" s="78" t="s">
        <v>8</v>
      </c>
      <c r="E1" s="79" t="s">
        <v>9</v>
      </c>
      <c r="F1" s="79" t="s">
        <v>43</v>
      </c>
      <c r="G1" s="79" t="s">
        <v>44</v>
      </c>
      <c r="H1" s="79" t="s">
        <v>45</v>
      </c>
      <c r="I1" s="80"/>
      <c r="J1" s="81" t="s">
        <v>37</v>
      </c>
      <c r="K1" s="81" t="s">
        <v>38</v>
      </c>
      <c r="L1" s="81" t="s">
        <v>39</v>
      </c>
      <c r="M1" s="81" t="s">
        <v>40</v>
      </c>
      <c r="N1" s="81" t="s">
        <v>41</v>
      </c>
      <c r="O1" s="82" t="s">
        <v>42</v>
      </c>
    </row>
    <row r="2" spans="1:15" ht="16.5" x14ac:dyDescent="0.3">
      <c r="A2" s="75" t="s">
        <v>18</v>
      </c>
      <c r="B2" s="41" t="s">
        <v>19</v>
      </c>
      <c r="C2" s="41">
        <v>10</v>
      </c>
      <c r="D2" s="4">
        <f>('STDs and Samples'!I7)</f>
        <v>1.276417052231209</v>
      </c>
      <c r="E2" s="4">
        <f>('STDs and Samples'!J7)</f>
        <v>8232.721666134943</v>
      </c>
      <c r="F2" s="4"/>
      <c r="G2" s="4"/>
      <c r="H2" s="4"/>
      <c r="I2" s="4"/>
      <c r="J2" s="4">
        <f>AVERAGE(D2:D6)</f>
        <v>0.95522564770943297</v>
      </c>
      <c r="K2" s="4">
        <f>STDEV(D2:D6)</f>
        <v>0.34919164110302287</v>
      </c>
      <c r="L2" s="4">
        <f>K2/SQRT(5)</f>
        <v>0.15616324933621376</v>
      </c>
      <c r="M2" s="4">
        <f>AVERAGE(E2:E6)</f>
        <v>9222.4398084064178</v>
      </c>
      <c r="N2" s="4">
        <f>STDEV(E2:E6)</f>
        <v>3849.8650930037988</v>
      </c>
      <c r="O2" s="7">
        <f>N2/SQRT(5)</f>
        <v>1721.7120104320088</v>
      </c>
    </row>
    <row r="3" spans="1:15" ht="16.5" x14ac:dyDescent="0.3">
      <c r="A3" s="73" t="s">
        <v>18</v>
      </c>
      <c r="B3" s="12" t="s">
        <v>20</v>
      </c>
      <c r="C3" s="12">
        <v>10</v>
      </c>
      <c r="D3" s="5">
        <f>('STDs and Samples'!I11)</f>
        <v>1.0936568099488424</v>
      </c>
      <c r="E3" s="5">
        <f>('STDs and Samples'!J11)</f>
        <v>10145.458971884509</v>
      </c>
      <c r="F3" s="5"/>
      <c r="G3" s="5"/>
      <c r="H3" s="5"/>
      <c r="I3" s="5"/>
      <c r="J3" s="5"/>
      <c r="K3" s="5"/>
      <c r="L3" s="5"/>
      <c r="M3" s="5"/>
      <c r="N3" s="5"/>
      <c r="O3" s="9"/>
    </row>
    <row r="4" spans="1:15" ht="16.5" x14ac:dyDescent="0.3">
      <c r="A4" s="73" t="s">
        <v>18</v>
      </c>
      <c r="B4" s="12" t="s">
        <v>21</v>
      </c>
      <c r="C4" s="12">
        <v>10</v>
      </c>
      <c r="D4" s="5">
        <f>('STDs and Samples'!I15)</f>
        <v>1.2355876364021694</v>
      </c>
      <c r="E4" s="5">
        <f>('STDs and Samples'!J15)</f>
        <v>14775.755932864726</v>
      </c>
      <c r="F4" s="5"/>
      <c r="G4" s="5"/>
      <c r="H4" s="5"/>
      <c r="I4" s="5"/>
      <c r="J4" s="5"/>
      <c r="K4" s="5"/>
      <c r="L4" s="5"/>
      <c r="M4" s="5"/>
      <c r="N4" s="5"/>
      <c r="O4" s="9"/>
    </row>
    <row r="5" spans="1:15" ht="16.5" x14ac:dyDescent="0.3">
      <c r="A5" s="73" t="s">
        <v>18</v>
      </c>
      <c r="B5" s="12" t="s">
        <v>22</v>
      </c>
      <c r="C5" s="12">
        <v>10</v>
      </c>
      <c r="D5" s="12">
        <f>('STDs and Samples'!I19)</f>
        <v>0.50454666727270414</v>
      </c>
      <c r="E5" s="12">
        <f>('STDs and Samples'!J19)</f>
        <v>8883.6618270103208</v>
      </c>
      <c r="F5" s="12"/>
      <c r="G5" s="12"/>
      <c r="H5" s="12"/>
      <c r="I5" s="5"/>
      <c r="J5" s="5"/>
      <c r="K5" s="5"/>
      <c r="L5" s="5"/>
      <c r="M5" s="5"/>
      <c r="N5" s="5"/>
      <c r="O5" s="9"/>
    </row>
    <row r="6" spans="1:15" ht="17.25" thickBot="1" x14ac:dyDescent="0.35">
      <c r="A6" s="92" t="s">
        <v>18</v>
      </c>
      <c r="B6" s="22" t="s">
        <v>23</v>
      </c>
      <c r="C6" s="22">
        <v>10</v>
      </c>
      <c r="D6" s="22">
        <f>('STDs and Samples'!I23)</f>
        <v>0.66592007269224029</v>
      </c>
      <c r="E6" s="22">
        <f>('STDs and Samples'!J23)</f>
        <v>4074.6006441375889</v>
      </c>
      <c r="F6" s="22"/>
      <c r="G6" s="22"/>
      <c r="H6" s="22"/>
      <c r="I6" s="28"/>
      <c r="J6" s="28"/>
      <c r="K6" s="28"/>
      <c r="L6" s="28"/>
      <c r="M6" s="28"/>
      <c r="N6" s="28"/>
      <c r="O6" s="93"/>
    </row>
    <row r="7" spans="1:15" ht="16.5" x14ac:dyDescent="0.3">
      <c r="A7" s="96" t="s">
        <v>18</v>
      </c>
      <c r="B7" s="97" t="s">
        <v>19</v>
      </c>
      <c r="C7" s="97">
        <v>20</v>
      </c>
      <c r="D7" s="98">
        <f>('STDs and Samples'!I8)</f>
        <v>0.46177299354704382</v>
      </c>
      <c r="E7" s="98">
        <f>('STDs and Samples'!J8)</f>
        <v>12556.10273337244</v>
      </c>
      <c r="F7" s="98"/>
      <c r="G7" s="98"/>
      <c r="H7" s="98"/>
      <c r="I7" s="98"/>
      <c r="J7" s="98">
        <f>AVERAGE(D7:D11)</f>
        <v>0.18296641117160412</v>
      </c>
      <c r="K7" s="98">
        <f>STDEV(D7:D11)</f>
        <v>0.30114540203874329</v>
      </c>
      <c r="L7" s="98">
        <f>K7/SQRT(5)</f>
        <v>0.13467631801402674</v>
      </c>
      <c r="M7" s="98">
        <f>AVERAGE(E7:E11)</f>
        <v>24703.662679838639</v>
      </c>
      <c r="N7" s="98">
        <f>STDEV(E7:E11)</f>
        <v>10453.968731912097</v>
      </c>
      <c r="O7" s="99">
        <f>N7/SQRT(5)</f>
        <v>4675.156943842544</v>
      </c>
    </row>
    <row r="8" spans="1:15" ht="16.5" x14ac:dyDescent="0.3">
      <c r="A8" s="83" t="s">
        <v>18</v>
      </c>
      <c r="B8" s="84" t="s">
        <v>20</v>
      </c>
      <c r="C8" s="84">
        <v>20</v>
      </c>
      <c r="D8" s="85">
        <f>('STDs and Samples'!I12)</f>
        <v>0.48704834620311588</v>
      </c>
      <c r="E8" s="85">
        <f>('STDs and Samples'!J12)</f>
        <v>33820.713644280579</v>
      </c>
      <c r="F8" s="85"/>
      <c r="G8" s="85"/>
      <c r="H8" s="85"/>
      <c r="I8" s="85"/>
      <c r="J8" s="85"/>
      <c r="K8" s="85"/>
      <c r="L8" s="85"/>
      <c r="M8" s="85"/>
      <c r="N8" s="85"/>
      <c r="O8" s="86"/>
    </row>
    <row r="9" spans="1:15" ht="16.5" x14ac:dyDescent="0.3">
      <c r="A9" s="83" t="s">
        <v>18</v>
      </c>
      <c r="B9" s="84" t="s">
        <v>21</v>
      </c>
      <c r="C9" s="84">
        <v>20</v>
      </c>
      <c r="D9" s="85">
        <f>('STDs and Samples'!I16)</f>
        <v>0.19735391960659898</v>
      </c>
      <c r="E9" s="85">
        <f>('STDs and Samples'!J16)</f>
        <v>37337.933189333387</v>
      </c>
      <c r="F9" s="85"/>
      <c r="G9" s="85"/>
      <c r="H9" s="85"/>
      <c r="I9" s="85"/>
      <c r="J9" s="85"/>
      <c r="K9" s="85"/>
      <c r="L9" s="85"/>
      <c r="M9" s="85"/>
      <c r="N9" s="85"/>
      <c r="O9" s="86"/>
    </row>
    <row r="10" spans="1:15" ht="16.5" x14ac:dyDescent="0.3">
      <c r="A10" s="83" t="s">
        <v>18</v>
      </c>
      <c r="B10" s="84" t="s">
        <v>22</v>
      </c>
      <c r="C10" s="84">
        <v>20</v>
      </c>
      <c r="D10" s="84">
        <f>('STDs and Samples'!I20)</f>
        <v>-3.2068512194669552E-2</v>
      </c>
      <c r="E10" s="84">
        <f>('STDs and Samples'!J20)</f>
        <v>19302.987709129422</v>
      </c>
      <c r="F10" s="84"/>
      <c r="G10" s="84"/>
      <c r="H10" s="84"/>
      <c r="I10" s="85"/>
      <c r="J10" s="85"/>
      <c r="K10" s="85"/>
      <c r="L10" s="85"/>
      <c r="M10" s="85"/>
      <c r="N10" s="85"/>
      <c r="O10" s="86"/>
    </row>
    <row r="11" spans="1:15" ht="17.25" thickBot="1" x14ac:dyDescent="0.35">
      <c r="A11" s="88" t="s">
        <v>18</v>
      </c>
      <c r="B11" s="89" t="s">
        <v>23</v>
      </c>
      <c r="C11" s="89">
        <v>20</v>
      </c>
      <c r="D11" s="89">
        <f>('STDs and Samples'!I24)</f>
        <v>-0.19927469130406861</v>
      </c>
      <c r="E11" s="89">
        <f>('STDs and Samples'!J24)</f>
        <v>20500.576123077382</v>
      </c>
      <c r="F11" s="89"/>
      <c r="G11" s="89"/>
      <c r="H11" s="89"/>
      <c r="I11" s="90"/>
      <c r="J11" s="90"/>
      <c r="K11" s="90"/>
      <c r="L11" s="90"/>
      <c r="M11" s="90"/>
      <c r="N11" s="90"/>
      <c r="O11" s="91"/>
    </row>
    <row r="12" spans="1:15" ht="16.5" x14ac:dyDescent="0.3">
      <c r="A12" s="75" t="s">
        <v>18</v>
      </c>
      <c r="B12" s="41" t="s">
        <v>19</v>
      </c>
      <c r="C12" s="41">
        <v>35</v>
      </c>
      <c r="D12" s="4">
        <f>('STDs and Samples'!I9)</f>
        <v>0.30428810392074945</v>
      </c>
      <c r="E12" s="4">
        <f>('STDs and Samples'!J9)</f>
        <v>18283.366147067245</v>
      </c>
      <c r="F12" s="4"/>
      <c r="G12" s="4"/>
      <c r="H12" s="4"/>
      <c r="I12" s="4"/>
      <c r="J12" s="4">
        <f>AVERAGE(D12:D16)</f>
        <v>0.49404767463095123</v>
      </c>
      <c r="K12" s="4">
        <f>STDEV(D12:D16)</f>
        <v>0.60447912918481328</v>
      </c>
      <c r="L12" s="4">
        <f>K12/SQRT(5)</f>
        <v>0.27033128476742391</v>
      </c>
      <c r="M12" s="4">
        <f>AVERAGE(E12:E16)</f>
        <v>23494.197541867419</v>
      </c>
      <c r="N12" s="4">
        <f>STDEV(E12:E16)</f>
        <v>11443.373153257644</v>
      </c>
      <c r="O12" s="7">
        <f>N12/SQRT(5)</f>
        <v>5117.6320525160418</v>
      </c>
    </row>
    <row r="13" spans="1:15" ht="16.5" x14ac:dyDescent="0.3">
      <c r="A13" s="73" t="s">
        <v>18</v>
      </c>
      <c r="B13" s="12" t="s">
        <v>20</v>
      </c>
      <c r="C13" s="12">
        <v>35</v>
      </c>
      <c r="D13" s="5">
        <f>('STDs and Samples'!I13)</f>
        <v>0.18957688802011519</v>
      </c>
      <c r="E13" s="5">
        <f>('STDs and Samples'!J13)</f>
        <v>36583.324704891245</v>
      </c>
      <c r="F13" s="5"/>
      <c r="G13" s="5"/>
      <c r="H13" s="5"/>
      <c r="I13" s="5"/>
      <c r="J13" s="5"/>
      <c r="K13" s="5"/>
      <c r="L13" s="5"/>
      <c r="M13" s="5"/>
      <c r="N13" s="5"/>
      <c r="O13" s="9"/>
    </row>
    <row r="14" spans="1:15" ht="16.5" x14ac:dyDescent="0.3">
      <c r="A14" s="73" t="s">
        <v>18</v>
      </c>
      <c r="B14" s="12" t="s">
        <v>21</v>
      </c>
      <c r="C14" s="12">
        <v>35</v>
      </c>
      <c r="D14" s="5">
        <f>('STDs and Samples'!I17)</f>
        <v>1.0800470046724961</v>
      </c>
      <c r="E14" s="5">
        <f>('STDs and Samples'!J17)</f>
        <v>15162.899516514946</v>
      </c>
      <c r="F14" s="5"/>
      <c r="G14" s="5"/>
      <c r="H14" s="5"/>
      <c r="I14" s="5"/>
      <c r="J14" s="5"/>
      <c r="K14" s="5"/>
      <c r="L14" s="5"/>
      <c r="M14" s="5"/>
      <c r="N14" s="5"/>
      <c r="O14" s="9"/>
    </row>
    <row r="15" spans="1:15" ht="16.5" x14ac:dyDescent="0.3">
      <c r="A15" s="73" t="s">
        <v>18</v>
      </c>
      <c r="B15" s="12" t="s">
        <v>22</v>
      </c>
      <c r="C15" s="12">
        <v>35</v>
      </c>
      <c r="D15" s="12">
        <f>('STDs and Samples'!I21)</f>
        <v>1.1500402889508492</v>
      </c>
      <c r="E15" s="12">
        <f>('STDs and Samples'!J21)</f>
        <v>12411.144955226626</v>
      </c>
      <c r="F15" s="12"/>
      <c r="G15" s="12"/>
      <c r="H15" s="12"/>
      <c r="I15" s="5"/>
      <c r="J15" s="5"/>
      <c r="K15" s="5"/>
      <c r="L15" s="5"/>
      <c r="M15" s="5"/>
      <c r="N15" s="5"/>
      <c r="O15" s="9"/>
    </row>
    <row r="16" spans="1:15" ht="17.25" thickBot="1" x14ac:dyDescent="0.35">
      <c r="A16" s="92" t="s">
        <v>18</v>
      </c>
      <c r="B16" s="22" t="s">
        <v>23</v>
      </c>
      <c r="C16" s="22">
        <v>35</v>
      </c>
      <c r="D16" s="22">
        <f>('STDs and Samples'!I25)</f>
        <v>-0.25371391240945429</v>
      </c>
      <c r="E16" s="22">
        <f>('STDs and Samples'!J25)</f>
        <v>35030.252385637039</v>
      </c>
      <c r="F16" s="22"/>
      <c r="G16" s="22"/>
      <c r="H16" s="22"/>
      <c r="I16" s="28"/>
      <c r="J16" s="28"/>
      <c r="K16" s="28"/>
      <c r="L16" s="28"/>
      <c r="M16" s="28"/>
      <c r="N16" s="28"/>
      <c r="O16" s="93"/>
    </row>
    <row r="17" spans="1:15" ht="16.5" x14ac:dyDescent="0.3">
      <c r="A17" s="96" t="s">
        <v>18</v>
      </c>
      <c r="B17" s="97" t="s">
        <v>19</v>
      </c>
      <c r="C17" s="97">
        <v>50</v>
      </c>
      <c r="D17" s="98">
        <f>('STDs and Samples'!I10)</f>
        <v>0.12347211953500392</v>
      </c>
      <c r="E17" s="98">
        <f>('STDs and Samples'!J10)</f>
        <v>26084.609393640949</v>
      </c>
      <c r="F17" s="98"/>
      <c r="G17" s="98"/>
      <c r="H17" s="98"/>
      <c r="I17" s="98"/>
      <c r="J17" s="98">
        <f>AVERAGE(D17:D21)</f>
        <v>0.53759905151525977</v>
      </c>
      <c r="K17" s="98">
        <f>STDEV(D17:D21)</f>
        <v>0.70076810526443623</v>
      </c>
      <c r="L17" s="98">
        <f>K17/SQRT(5)</f>
        <v>0.31339302396700153</v>
      </c>
      <c r="M17" s="98">
        <f>AVERAGE(E17:E21)</f>
        <v>24221.572773772154</v>
      </c>
      <c r="N17" s="98">
        <f>STDEV(E17:E21)</f>
        <v>10106.659805958059</v>
      </c>
      <c r="O17" s="99">
        <f>N17/SQRT(5)</f>
        <v>4519.8356703174104</v>
      </c>
    </row>
    <row r="18" spans="1:15" ht="16.5" x14ac:dyDescent="0.3">
      <c r="A18" s="83" t="s">
        <v>18</v>
      </c>
      <c r="B18" s="84" t="s">
        <v>20</v>
      </c>
      <c r="C18" s="84">
        <v>50</v>
      </c>
      <c r="D18" s="85">
        <f>('STDs and Samples'!I14)</f>
        <v>0.12930489322486682</v>
      </c>
      <c r="E18" s="85">
        <f>('STDs and Samples'!J14)</f>
        <v>37174.451892569785</v>
      </c>
      <c r="F18" s="85"/>
      <c r="G18" s="85"/>
      <c r="H18" s="85"/>
      <c r="I18" s="85"/>
      <c r="J18" s="85"/>
      <c r="K18" s="85"/>
      <c r="L18" s="85"/>
      <c r="M18" s="85"/>
      <c r="N18" s="85"/>
      <c r="O18" s="86"/>
    </row>
    <row r="19" spans="1:15" ht="16.5" x14ac:dyDescent="0.3">
      <c r="A19" s="83" t="s">
        <v>18</v>
      </c>
      <c r="B19" s="84" t="s">
        <v>21</v>
      </c>
      <c r="C19" s="84">
        <v>50</v>
      </c>
      <c r="D19" s="85">
        <f>('STDs and Samples'!I18)</f>
        <v>1.2997481469906598</v>
      </c>
      <c r="E19" s="85">
        <f>('STDs and Samples'!J18)</f>
        <v>13941.175325824932</v>
      </c>
      <c r="F19" s="85"/>
      <c r="G19" s="85"/>
      <c r="H19" s="85"/>
      <c r="I19" s="85"/>
      <c r="J19" s="85"/>
      <c r="K19" s="85"/>
      <c r="L19" s="85"/>
      <c r="M19" s="85"/>
      <c r="N19" s="85"/>
      <c r="O19" s="86"/>
    </row>
    <row r="20" spans="1:15" ht="16.5" x14ac:dyDescent="0.3">
      <c r="A20" s="83" t="s">
        <v>18</v>
      </c>
      <c r="B20" s="84" t="s">
        <v>22</v>
      </c>
      <c r="C20" s="84">
        <v>50</v>
      </c>
      <c r="D20" s="84">
        <f>('STDs and Samples'!I22)</f>
        <v>1.2900268575075553</v>
      </c>
      <c r="E20" s="84">
        <f>('STDs and Samples'!J22)</f>
        <v>14164.132246936371</v>
      </c>
      <c r="F20" s="84"/>
      <c r="G20" s="84"/>
      <c r="H20" s="84"/>
      <c r="I20" s="85"/>
      <c r="J20" s="85"/>
      <c r="K20" s="85"/>
      <c r="L20" s="85"/>
      <c r="M20" s="85"/>
      <c r="N20" s="85"/>
      <c r="O20" s="86"/>
    </row>
    <row r="21" spans="1:15" ht="17.25" thickBot="1" x14ac:dyDescent="0.35">
      <c r="A21" s="88" t="s">
        <v>18</v>
      </c>
      <c r="B21" s="89" t="s">
        <v>23</v>
      </c>
      <c r="C21" s="89">
        <v>50</v>
      </c>
      <c r="D21" s="89">
        <f>('STDs and Samples'!I26)</f>
        <v>-0.15455675968178739</v>
      </c>
      <c r="E21" s="89">
        <f>('STDs and Samples'!J26)</f>
        <v>29743.495009888728</v>
      </c>
      <c r="F21" s="89"/>
      <c r="G21" s="89"/>
      <c r="H21" s="89"/>
      <c r="I21" s="90"/>
      <c r="J21" s="90"/>
      <c r="K21" s="90"/>
      <c r="L21" s="90"/>
      <c r="M21" s="90"/>
      <c r="N21" s="90"/>
      <c r="O21" s="91"/>
    </row>
    <row r="22" spans="1:15" ht="16.5" x14ac:dyDescent="0.3">
      <c r="A22" s="95" t="s">
        <v>24</v>
      </c>
      <c r="B22" s="41" t="s">
        <v>19</v>
      </c>
      <c r="C22" s="41">
        <v>10</v>
      </c>
      <c r="D22" s="41">
        <f>('STDs and Samples'!I27)</f>
        <v>0.41316654613152082</v>
      </c>
      <c r="E22" s="41">
        <f>('STDs and Samples'!J27)</f>
        <v>9394.0604128540581</v>
      </c>
      <c r="F22" s="41"/>
      <c r="G22" s="41"/>
      <c r="H22" s="41"/>
      <c r="I22" s="4"/>
      <c r="J22" s="4">
        <f>AVERAGE(D22:D26)</f>
        <v>0.5605412946953866</v>
      </c>
      <c r="K22" s="4">
        <f>STDEV(D22:D26)</f>
        <v>0.13988121494284511</v>
      </c>
      <c r="L22" s="4">
        <f>K22/SQRT(5)</f>
        <v>6.2556781077492199E-2</v>
      </c>
      <c r="M22" s="4">
        <f>AVERAGE(E22:E26)</f>
        <v>11672.639255843391</v>
      </c>
      <c r="N22" s="4">
        <f>STDEV(E22:E26)</f>
        <v>5298.7051674441782</v>
      </c>
      <c r="O22" s="7">
        <f>N22/SQRT(5)</f>
        <v>2369.6529894269174</v>
      </c>
    </row>
    <row r="23" spans="1:15" ht="16.5" x14ac:dyDescent="0.3">
      <c r="A23" s="74" t="s">
        <v>24</v>
      </c>
      <c r="B23" s="12" t="s">
        <v>20</v>
      </c>
      <c r="C23" s="12">
        <v>10</v>
      </c>
      <c r="D23" s="5">
        <f>('STDs and Samples'!I31)</f>
        <v>0.42872060930448819</v>
      </c>
      <c r="E23" s="5">
        <f>('STDs and Samples'!J31)</f>
        <v>21054.431374287684</v>
      </c>
      <c r="F23" s="5"/>
      <c r="G23" s="5"/>
      <c r="H23" s="5"/>
      <c r="I23" s="5"/>
      <c r="J23" s="5"/>
      <c r="K23" s="5"/>
      <c r="L23" s="5"/>
      <c r="M23" s="5"/>
      <c r="N23" s="5"/>
      <c r="O23" s="9"/>
    </row>
    <row r="24" spans="1:15" ht="16.5" x14ac:dyDescent="0.3">
      <c r="A24" s="74" t="s">
        <v>24</v>
      </c>
      <c r="B24" s="12" t="s">
        <v>21</v>
      </c>
      <c r="C24" s="12">
        <v>10</v>
      </c>
      <c r="D24" s="5">
        <f>('STDs and Samples'!I35)</f>
        <v>0.74563464645369804</v>
      </c>
      <c r="E24" s="5">
        <f>('STDs and Samples'!J35)</f>
        <v>9038.4742806238755</v>
      </c>
      <c r="F24" s="5"/>
      <c r="G24" s="5"/>
      <c r="H24" s="5"/>
      <c r="I24" s="5"/>
      <c r="J24" s="5"/>
      <c r="K24" s="5"/>
      <c r="L24" s="5"/>
      <c r="M24" s="5"/>
      <c r="N24" s="5"/>
      <c r="O24" s="9"/>
    </row>
    <row r="25" spans="1:15" ht="16.5" x14ac:dyDescent="0.3">
      <c r="A25" s="74" t="s">
        <v>24</v>
      </c>
      <c r="B25" s="12" t="s">
        <v>22</v>
      </c>
      <c r="C25" s="12">
        <v>10</v>
      </c>
      <c r="D25" s="5">
        <f>('STDs and Samples'!I39)</f>
        <v>0.6231463989665802</v>
      </c>
      <c r="E25" s="5">
        <f>('STDs and Samples'!J39)</f>
        <v>10479.781903935334</v>
      </c>
      <c r="F25" s="5"/>
      <c r="G25" s="5"/>
      <c r="H25" s="5"/>
      <c r="I25" s="5"/>
      <c r="J25" s="5"/>
      <c r="K25" s="5"/>
      <c r="L25" s="5"/>
      <c r="M25" s="5"/>
      <c r="N25" s="5"/>
      <c r="O25" s="9"/>
    </row>
    <row r="26" spans="1:15" ht="17.25" thickBot="1" x14ac:dyDescent="0.35">
      <c r="A26" s="94" t="s">
        <v>24</v>
      </c>
      <c r="B26" s="22" t="s">
        <v>23</v>
      </c>
      <c r="C26" s="22">
        <v>10</v>
      </c>
      <c r="D26" s="28">
        <f>('STDs and Samples'!I43)</f>
        <v>0.59203827262064546</v>
      </c>
      <c r="E26" s="28">
        <f>('STDs and Samples'!J43)</f>
        <v>8396.4483075159969</v>
      </c>
      <c r="F26" s="28"/>
      <c r="G26" s="28"/>
      <c r="H26" s="28"/>
      <c r="I26" s="28"/>
      <c r="J26" s="28"/>
      <c r="K26" s="28"/>
      <c r="L26" s="28"/>
      <c r="M26" s="28"/>
      <c r="N26" s="28"/>
      <c r="O26" s="93"/>
    </row>
    <row r="27" spans="1:15" ht="16.5" x14ac:dyDescent="0.3">
      <c r="A27" s="100" t="s">
        <v>24</v>
      </c>
      <c r="B27" s="97" t="s">
        <v>19</v>
      </c>
      <c r="C27" s="97">
        <v>20</v>
      </c>
      <c r="D27" s="97">
        <f>('STDs and Samples'!I28)</f>
        <v>-4.7622575367636921E-2</v>
      </c>
      <c r="E27" s="97">
        <f>('STDs and Samples'!J28)</f>
        <v>16123.750820004461</v>
      </c>
      <c r="F27" s="97"/>
      <c r="G27" s="97"/>
      <c r="H27" s="97"/>
      <c r="I27" s="98"/>
      <c r="J27" s="98">
        <f>AVERAGE(D27:D31)</f>
        <v>0.12813833848689421</v>
      </c>
      <c r="K27" s="98">
        <f>STDEV(D27:D31)</f>
        <v>0.2513084010696347</v>
      </c>
      <c r="L27" s="98">
        <f>K27/SQRT(5)</f>
        <v>0.1123885336216968</v>
      </c>
      <c r="M27" s="98">
        <f>AVERAGE(E27:E31)</f>
        <v>17725.914552672759</v>
      </c>
      <c r="N27" s="98">
        <f>STDEV(E27:E31)</f>
        <v>3833.8287874069761</v>
      </c>
      <c r="O27" s="99">
        <f>N27/SQRT(5)</f>
        <v>1714.5403565475176</v>
      </c>
    </row>
    <row r="28" spans="1:15" ht="16.5" x14ac:dyDescent="0.3">
      <c r="A28" s="87" t="s">
        <v>24</v>
      </c>
      <c r="B28" s="84" t="s">
        <v>20</v>
      </c>
      <c r="C28" s="84">
        <v>20</v>
      </c>
      <c r="D28" s="85">
        <f>('STDs and Samples'!I32)</f>
        <v>7.0977156326239133E-2</v>
      </c>
      <c r="E28" s="85">
        <f>('STDs and Samples'!J32)</f>
        <v>23209.201145155748</v>
      </c>
      <c r="F28" s="85"/>
      <c r="G28" s="85"/>
      <c r="H28" s="85"/>
      <c r="I28" s="85"/>
      <c r="J28" s="85"/>
      <c r="K28" s="85"/>
      <c r="L28" s="85"/>
      <c r="M28" s="85"/>
      <c r="N28" s="85"/>
      <c r="O28" s="86"/>
    </row>
    <row r="29" spans="1:15" ht="16.5" x14ac:dyDescent="0.3">
      <c r="A29" s="87" t="s">
        <v>24</v>
      </c>
      <c r="B29" s="84" t="s">
        <v>21</v>
      </c>
      <c r="C29" s="84">
        <v>20</v>
      </c>
      <c r="D29" s="85">
        <f>('STDs and Samples'!I36)</f>
        <v>4.1813287876925509E-2</v>
      </c>
      <c r="E29" s="85">
        <f>('STDs and Samples'!J36)</f>
        <v>12875.888996839107</v>
      </c>
      <c r="F29" s="85"/>
      <c r="G29" s="85"/>
      <c r="H29" s="85"/>
      <c r="I29" s="85"/>
      <c r="J29" s="85"/>
      <c r="K29" s="85"/>
      <c r="L29" s="85"/>
      <c r="M29" s="85"/>
      <c r="N29" s="85"/>
      <c r="O29" s="86"/>
    </row>
    <row r="30" spans="1:15" ht="16.5" x14ac:dyDescent="0.3">
      <c r="A30" s="87" t="s">
        <v>24</v>
      </c>
      <c r="B30" s="84" t="s">
        <v>22</v>
      </c>
      <c r="C30" s="84">
        <v>20</v>
      </c>
      <c r="D30" s="85">
        <f>('STDs and Samples'!I40)</f>
        <v>0.57065143575781541</v>
      </c>
      <c r="E30" s="85">
        <f>('STDs and Samples'!J40)</f>
        <v>19251.393780617294</v>
      </c>
      <c r="F30" s="85"/>
      <c r="G30" s="85"/>
      <c r="H30" s="85"/>
      <c r="I30" s="85"/>
      <c r="J30" s="85"/>
      <c r="K30" s="85"/>
      <c r="L30" s="85"/>
      <c r="M30" s="85"/>
      <c r="N30" s="85"/>
      <c r="O30" s="86"/>
    </row>
    <row r="31" spans="1:15" ht="17.25" thickBot="1" x14ac:dyDescent="0.35">
      <c r="A31" s="101" t="s">
        <v>24</v>
      </c>
      <c r="B31" s="89" t="s">
        <v>23</v>
      </c>
      <c r="C31" s="89">
        <v>20</v>
      </c>
      <c r="D31" s="90">
        <f>('STDs and Samples'!I44)</f>
        <v>4.8723878411278676E-3</v>
      </c>
      <c r="E31" s="90">
        <f>('STDs and Samples'!J44)</f>
        <v>17169.3380207472</v>
      </c>
      <c r="F31" s="90"/>
      <c r="G31" s="90"/>
      <c r="H31" s="90"/>
      <c r="I31" s="90"/>
      <c r="J31" s="90"/>
      <c r="K31" s="90"/>
      <c r="L31" s="90"/>
      <c r="M31" s="90"/>
      <c r="N31" s="90"/>
      <c r="O31" s="91"/>
    </row>
    <row r="32" spans="1:15" ht="16.5" x14ac:dyDescent="0.3">
      <c r="A32" s="95" t="s">
        <v>24</v>
      </c>
      <c r="B32" s="41" t="s">
        <v>19</v>
      </c>
      <c r="C32" s="41">
        <v>35</v>
      </c>
      <c r="D32" s="41">
        <f>('STDs and Samples'!I29)</f>
        <v>0.17596708274376871</v>
      </c>
      <c r="E32" s="41">
        <f>('STDs and Samples'!J29)</f>
        <v>19206.352597929676</v>
      </c>
      <c r="F32" s="41"/>
      <c r="G32" s="41"/>
      <c r="H32" s="41"/>
      <c r="I32" s="4"/>
      <c r="J32" s="4">
        <f>AVERAGE(D32:D36)</f>
        <v>8.069844580934378E-2</v>
      </c>
      <c r="K32" s="4">
        <f>STDEV(D32:D36)</f>
        <v>0.17216291146579543</v>
      </c>
      <c r="L32" s="4">
        <f>K32/SQRT(5)</f>
        <v>7.6993594648359309E-2</v>
      </c>
      <c r="M32" s="4">
        <f>AVERAGE(E32:E36)</f>
        <v>21810.642776897192</v>
      </c>
      <c r="N32" s="4">
        <f>STDEV(E32:E36)</f>
        <v>6836.5749883280123</v>
      </c>
      <c r="O32" s="7">
        <f>N32/SQRT(5)</f>
        <v>3057.4092814352534</v>
      </c>
    </row>
    <row r="33" spans="1:15" ht="16.5" x14ac:dyDescent="0.3">
      <c r="A33" s="74" t="s">
        <v>24</v>
      </c>
      <c r="B33" s="12" t="s">
        <v>20</v>
      </c>
      <c r="C33" s="12">
        <v>35</v>
      </c>
      <c r="D33" s="5">
        <f>('STDs and Samples'!I33)</f>
        <v>1.2649419427611663E-2</v>
      </c>
      <c r="E33" s="5">
        <f>('STDs and Samples'!J33)</f>
        <v>33546.612593122351</v>
      </c>
      <c r="F33" s="5"/>
      <c r="G33" s="5"/>
      <c r="H33" s="5"/>
      <c r="I33" s="5"/>
      <c r="J33" s="5"/>
      <c r="K33" s="5"/>
      <c r="L33" s="5"/>
      <c r="M33" s="5"/>
      <c r="N33" s="5"/>
      <c r="O33" s="9"/>
    </row>
    <row r="34" spans="1:15" ht="16.5" x14ac:dyDescent="0.3">
      <c r="A34" s="74" t="s">
        <v>24</v>
      </c>
      <c r="B34" s="12" t="s">
        <v>21</v>
      </c>
      <c r="C34" s="12">
        <v>35</v>
      </c>
      <c r="D34" s="5">
        <f>('STDs and Samples'!I37)</f>
        <v>5.9311608946513772E-2</v>
      </c>
      <c r="E34" s="5">
        <f>('STDs and Samples'!J37)</f>
        <v>16240.555303297417</v>
      </c>
      <c r="F34" s="5"/>
      <c r="G34" s="5"/>
      <c r="H34" s="5"/>
      <c r="I34" s="5"/>
      <c r="J34" s="5"/>
      <c r="K34" s="5"/>
      <c r="L34" s="5"/>
      <c r="M34" s="5"/>
      <c r="N34" s="5"/>
      <c r="O34" s="9"/>
    </row>
    <row r="35" spans="1:15" ht="16.5" x14ac:dyDescent="0.3">
      <c r="A35" s="74" t="s">
        <v>24</v>
      </c>
      <c r="B35" s="12" t="s">
        <v>22</v>
      </c>
      <c r="C35" s="12">
        <v>35</v>
      </c>
      <c r="D35" s="5">
        <f>('STDs and Samples'!I41)</f>
        <v>0.30623236181737035</v>
      </c>
      <c r="E35" s="5">
        <f>('STDs and Samples'!J41)</f>
        <v>18437.463012213226</v>
      </c>
      <c r="F35" s="5"/>
      <c r="G35" s="5"/>
      <c r="H35" s="5"/>
      <c r="I35" s="5"/>
      <c r="J35" s="5"/>
      <c r="K35" s="5"/>
      <c r="L35" s="5"/>
      <c r="M35" s="5"/>
      <c r="N35" s="5"/>
      <c r="O35" s="9"/>
    </row>
    <row r="36" spans="1:15" ht="17.25" thickBot="1" x14ac:dyDescent="0.35">
      <c r="A36" s="94" t="s">
        <v>24</v>
      </c>
      <c r="B36" s="22" t="s">
        <v>23</v>
      </c>
      <c r="C36" s="22">
        <v>35</v>
      </c>
      <c r="D36" s="28">
        <f>('STDs and Samples'!I45)</f>
        <v>-0.15066824388854561</v>
      </c>
      <c r="E36" s="28">
        <f>('STDs and Samples'!J45)</f>
        <v>21622.230377923293</v>
      </c>
      <c r="F36" s="28"/>
      <c r="G36" s="28"/>
      <c r="H36" s="28"/>
      <c r="I36" s="28"/>
      <c r="J36" s="28"/>
      <c r="K36" s="28"/>
      <c r="L36" s="28"/>
      <c r="M36" s="28"/>
      <c r="N36" s="28"/>
      <c r="O36" s="93"/>
    </row>
    <row r="37" spans="1:15" ht="16.5" x14ac:dyDescent="0.3">
      <c r="A37" s="100" t="s">
        <v>24</v>
      </c>
      <c r="B37" s="97" t="s">
        <v>19</v>
      </c>
      <c r="C37" s="97">
        <v>50</v>
      </c>
      <c r="D37" s="97">
        <f>('STDs and Samples'!I30)</f>
        <v>-0.17983211233785923</v>
      </c>
      <c r="E37" s="97">
        <f>('STDs and Samples'!J30)</f>
        <v>33541.255902307938</v>
      </c>
      <c r="F37" s="97"/>
      <c r="G37" s="97"/>
      <c r="H37" s="97"/>
      <c r="I37" s="98"/>
      <c r="J37" s="98">
        <f>AVERAGE(D37:D41)</f>
        <v>-0.11178308595612715</v>
      </c>
      <c r="K37" s="98">
        <f>STDEV(D37:D41)</f>
        <v>0.16331187673180839</v>
      </c>
      <c r="L37" s="98">
        <f>K37/SQRT(5)</f>
        <v>7.3035291581077952E-2</v>
      </c>
      <c r="M37" s="98">
        <f>AVERAGE(E37:E41)</f>
        <v>34507.187883917228</v>
      </c>
      <c r="N37" s="98">
        <f>STDEV(E37:E41)</f>
        <v>8626.6975083973539</v>
      </c>
      <c r="O37" s="99">
        <f>N37/SQRT(5)</f>
        <v>3857.976410020909</v>
      </c>
    </row>
    <row r="38" spans="1:15" ht="16.5" x14ac:dyDescent="0.3">
      <c r="A38" s="87" t="s">
        <v>24</v>
      </c>
      <c r="B38" s="84" t="s">
        <v>20</v>
      </c>
      <c r="C38" s="84">
        <v>50</v>
      </c>
      <c r="D38" s="85">
        <f>('STDs and Samples'!I34)</f>
        <v>-0.11956011754261087</v>
      </c>
      <c r="E38" s="85">
        <f>('STDs and Samples'!J34)</f>
        <v>49215.250128750828</v>
      </c>
      <c r="F38" s="85"/>
      <c r="G38" s="85"/>
      <c r="H38" s="85"/>
      <c r="I38" s="85"/>
      <c r="J38" s="85"/>
      <c r="K38" s="85"/>
      <c r="L38" s="85"/>
      <c r="M38" s="85"/>
      <c r="N38" s="85"/>
      <c r="O38" s="86"/>
    </row>
    <row r="39" spans="1:15" ht="16.5" x14ac:dyDescent="0.3">
      <c r="A39" s="87" t="s">
        <v>24</v>
      </c>
      <c r="B39" s="84" t="s">
        <v>21</v>
      </c>
      <c r="C39" s="84">
        <v>50</v>
      </c>
      <c r="D39" s="85">
        <f>('STDs and Samples'!I38)</f>
        <v>-0.24010410713310781</v>
      </c>
      <c r="E39" s="85">
        <f>('STDs and Samples'!J38)</f>
        <v>33312.431155762388</v>
      </c>
      <c r="F39" s="85"/>
      <c r="G39" s="85"/>
      <c r="H39" s="85"/>
      <c r="I39" s="85"/>
      <c r="J39" s="85"/>
      <c r="K39" s="85"/>
      <c r="L39" s="85"/>
      <c r="M39" s="85"/>
      <c r="N39" s="85"/>
      <c r="O39" s="86"/>
    </row>
    <row r="40" spans="1:15" ht="16.5" x14ac:dyDescent="0.3">
      <c r="A40" s="87" t="s">
        <v>24</v>
      </c>
      <c r="B40" s="84" t="s">
        <v>22</v>
      </c>
      <c r="C40" s="84">
        <v>50</v>
      </c>
      <c r="D40" s="85">
        <f>('STDs and Samples'!I42)</f>
        <v>0.17013430905390603</v>
      </c>
      <c r="E40" s="85">
        <f>('STDs and Samples'!J42)</f>
        <v>27863.511210569286</v>
      </c>
      <c r="F40" s="85"/>
      <c r="G40" s="85"/>
      <c r="H40" s="85"/>
      <c r="I40" s="85"/>
      <c r="J40" s="85"/>
      <c r="K40" s="85"/>
      <c r="L40" s="85"/>
      <c r="M40" s="85"/>
      <c r="N40" s="85"/>
      <c r="O40" s="86"/>
    </row>
    <row r="41" spans="1:15" ht="17.25" thickBot="1" x14ac:dyDescent="0.35">
      <c r="A41" s="101" t="s">
        <v>24</v>
      </c>
      <c r="B41" s="89" t="s">
        <v>23</v>
      </c>
      <c r="C41" s="89">
        <v>50</v>
      </c>
      <c r="D41" s="90">
        <f>('STDs and Samples'!I46)</f>
        <v>-0.18955340182096392</v>
      </c>
      <c r="E41" s="90">
        <f>('STDs and Samples'!J46)</f>
        <v>28603.491022195725</v>
      </c>
      <c r="F41" s="90"/>
      <c r="G41" s="90"/>
      <c r="H41" s="90"/>
      <c r="I41" s="90"/>
      <c r="J41" s="90"/>
      <c r="K41" s="90"/>
      <c r="L41" s="90"/>
      <c r="M41" s="90"/>
      <c r="N41" s="90"/>
      <c r="O41" s="91"/>
    </row>
    <row r="42" spans="1:15" ht="16.5" x14ac:dyDescent="0.3">
      <c r="A42" s="75" t="s">
        <v>25</v>
      </c>
      <c r="B42" s="41" t="s">
        <v>19</v>
      </c>
      <c r="C42" s="41">
        <v>10</v>
      </c>
      <c r="D42" s="4">
        <f>('STDs and Samples'!I47)</f>
        <v>0.59981530420712903</v>
      </c>
      <c r="E42" s="4">
        <f>('STDs and Samples'!J47)</f>
        <v>4045.9259919726378</v>
      </c>
      <c r="F42" s="4"/>
      <c r="G42" s="4"/>
      <c r="H42" s="4"/>
      <c r="I42" s="4"/>
      <c r="J42" s="4">
        <f>AVERAGE(D42:D46)</f>
        <v>0.60214841368307415</v>
      </c>
      <c r="K42" s="4">
        <f>STDEV(D42:D46)</f>
        <v>0.17745760631584492</v>
      </c>
      <c r="L42" s="4">
        <f>K42/SQRT(5)</f>
        <v>7.9361454169325052E-2</v>
      </c>
      <c r="M42" s="4">
        <f>AVERAGE(E42:E46)</f>
        <v>10031.745830771477</v>
      </c>
      <c r="N42" s="4">
        <f>STDEV(E42:E46)</f>
        <v>6239.1776120706227</v>
      </c>
      <c r="O42" s="7">
        <f>N42/SQRT(5)</f>
        <v>2790.2450528569448</v>
      </c>
    </row>
    <row r="43" spans="1:15" ht="16.5" x14ac:dyDescent="0.3">
      <c r="A43" s="73" t="s">
        <v>25</v>
      </c>
      <c r="B43" s="12" t="s">
        <v>20</v>
      </c>
      <c r="C43" s="12">
        <v>10</v>
      </c>
      <c r="D43" s="5">
        <f>('STDs and Samples'!I51)</f>
        <v>0.69702819903817503</v>
      </c>
      <c r="E43" s="5">
        <f>('STDs and Samples'!J51)</f>
        <v>9290.4534254416594</v>
      </c>
      <c r="F43" s="5"/>
      <c r="G43" s="5"/>
      <c r="H43" s="5"/>
      <c r="I43" s="5"/>
      <c r="J43" s="5"/>
      <c r="K43" s="5"/>
      <c r="L43" s="5"/>
      <c r="M43" s="5"/>
      <c r="N43" s="5"/>
      <c r="O43" s="9"/>
    </row>
    <row r="44" spans="1:15" ht="16.5" x14ac:dyDescent="0.3">
      <c r="A44" s="73" t="s">
        <v>25</v>
      </c>
      <c r="B44" s="12" t="s">
        <v>21</v>
      </c>
      <c r="C44" s="12">
        <v>10</v>
      </c>
      <c r="D44" s="5">
        <f>('STDs and Samples'!I55)</f>
        <v>0.60370382000037104</v>
      </c>
      <c r="E44" s="5">
        <f>('STDs and Samples'!J55)</f>
        <v>16731.551218977489</v>
      </c>
      <c r="F44" s="5"/>
      <c r="G44" s="5"/>
      <c r="H44" s="5"/>
      <c r="I44" s="5"/>
      <c r="J44" s="5"/>
      <c r="K44" s="5"/>
      <c r="L44" s="5"/>
      <c r="M44" s="5"/>
      <c r="N44" s="5"/>
      <c r="O44" s="9"/>
    </row>
    <row r="45" spans="1:15" ht="16.5" x14ac:dyDescent="0.3">
      <c r="A45" s="73" t="s">
        <v>25</v>
      </c>
      <c r="B45" s="12" t="s">
        <v>22</v>
      </c>
      <c r="C45" s="12">
        <v>10</v>
      </c>
      <c r="D45" s="5">
        <f>('STDs and Samples'!I59)</f>
        <v>0.79229683597259992</v>
      </c>
      <c r="E45" s="5">
        <f>('STDs and Samples'!J59)</f>
        <v>3944.4964380401439</v>
      </c>
      <c r="F45" s="5"/>
      <c r="G45" s="5"/>
      <c r="H45" s="5"/>
      <c r="I45" s="5"/>
      <c r="J45" s="5"/>
      <c r="K45" s="5"/>
      <c r="L45" s="5"/>
      <c r="M45" s="5"/>
      <c r="N45" s="5"/>
      <c r="O45" s="9"/>
    </row>
    <row r="46" spans="1:15" ht="17.25" thickBot="1" x14ac:dyDescent="0.35">
      <c r="A46" s="92" t="s">
        <v>25</v>
      </c>
      <c r="B46" s="22" t="s">
        <v>23</v>
      </c>
      <c r="C46" s="22">
        <v>10</v>
      </c>
      <c r="D46" s="28">
        <f>('STDs and Samples'!I63)</f>
        <v>0.31789790919709593</v>
      </c>
      <c r="E46" s="28">
        <f>('STDs and Samples'!J63)</f>
        <v>16146.302079425455</v>
      </c>
      <c r="F46" s="28"/>
      <c r="G46" s="28"/>
      <c r="H46" s="28"/>
      <c r="I46" s="28"/>
      <c r="J46" s="28"/>
      <c r="K46" s="28"/>
      <c r="L46" s="28"/>
      <c r="M46" s="28"/>
      <c r="N46" s="28"/>
      <c r="O46" s="93"/>
    </row>
    <row r="47" spans="1:15" ht="16.5" x14ac:dyDescent="0.3">
      <c r="A47" s="96" t="s">
        <v>25</v>
      </c>
      <c r="B47" s="97" t="s">
        <v>19</v>
      </c>
      <c r="C47" s="97">
        <v>20</v>
      </c>
      <c r="D47" s="98">
        <f>('STDs and Samples'!I48)</f>
        <v>-8.0674959610192554E-2</v>
      </c>
      <c r="E47" s="98">
        <f>('STDs and Samples'!J48)</f>
        <v>16645.61926671418</v>
      </c>
      <c r="F47" s="98"/>
      <c r="G47" s="98"/>
      <c r="H47" s="98"/>
      <c r="I47" s="98"/>
      <c r="J47" s="98">
        <f>AVERAGE(D47:D51)</f>
        <v>-0.10983882805950626</v>
      </c>
      <c r="K47" s="98">
        <f>STDEV(D47:D51)</f>
        <v>8.5048783257986982E-2</v>
      </c>
      <c r="L47" s="98">
        <f>K47/SQRT(5)</f>
        <v>3.8034972153700983E-2</v>
      </c>
      <c r="M47" s="98">
        <f>AVERAGE(E47:E51)</f>
        <v>23975.659774620923</v>
      </c>
      <c r="N47" s="98">
        <f>STDEV(E47:E51)</f>
        <v>9468.1054690242054</v>
      </c>
      <c r="O47" s="99">
        <f>N47/SQRT(5)</f>
        <v>4234.2654893751305</v>
      </c>
    </row>
    <row r="48" spans="1:15" ht="16.5" x14ac:dyDescent="0.3">
      <c r="A48" s="83" t="s">
        <v>25</v>
      </c>
      <c r="B48" s="84" t="s">
        <v>20</v>
      </c>
      <c r="C48" s="84">
        <v>20</v>
      </c>
      <c r="D48" s="85">
        <f>('STDs and Samples'!I52)</f>
        <v>-1.2625933228460395E-2</v>
      </c>
      <c r="E48" s="85">
        <f>('STDs and Samples'!J52)</f>
        <v>22532.959820605411</v>
      </c>
      <c r="F48" s="85"/>
      <c r="G48" s="85"/>
      <c r="H48" s="85"/>
      <c r="I48" s="85"/>
      <c r="J48" s="85"/>
      <c r="K48" s="85"/>
      <c r="L48" s="85"/>
      <c r="M48" s="85"/>
      <c r="N48" s="85"/>
      <c r="O48" s="86"/>
    </row>
    <row r="49" spans="1:15" ht="16.5" x14ac:dyDescent="0.3">
      <c r="A49" s="83" t="s">
        <v>25</v>
      </c>
      <c r="B49" s="84" t="s">
        <v>21</v>
      </c>
      <c r="C49" s="84">
        <v>20</v>
      </c>
      <c r="D49" s="85">
        <f>('STDs and Samples'!I56)</f>
        <v>-0.21288449658041486</v>
      </c>
      <c r="E49" s="85">
        <f>('STDs and Samples'!J56)</f>
        <v>39937.420747414239</v>
      </c>
      <c r="F49" s="85"/>
      <c r="G49" s="85"/>
      <c r="H49" s="85"/>
      <c r="I49" s="85"/>
      <c r="J49" s="85"/>
      <c r="K49" s="85"/>
      <c r="L49" s="85"/>
      <c r="M49" s="85"/>
      <c r="N49" s="85"/>
      <c r="O49" s="86"/>
    </row>
    <row r="50" spans="1:15" ht="16.5" x14ac:dyDescent="0.3">
      <c r="A50" s="83" t="s">
        <v>25</v>
      </c>
      <c r="B50" s="84" t="s">
        <v>22</v>
      </c>
      <c r="C50" s="84">
        <v>20</v>
      </c>
      <c r="D50" s="85">
        <f>('STDs and Samples'!I60)</f>
        <v>-0.18372062813110124</v>
      </c>
      <c r="E50" s="85">
        <f>('STDs and Samples'!J60)</f>
        <v>17053.208235152248</v>
      </c>
      <c r="F50" s="85"/>
      <c r="G50" s="85"/>
      <c r="H50" s="85"/>
      <c r="I50" s="85"/>
      <c r="J50" s="85"/>
      <c r="K50" s="85"/>
      <c r="L50" s="85"/>
      <c r="M50" s="85"/>
      <c r="N50" s="85"/>
      <c r="O50" s="86"/>
    </row>
    <row r="51" spans="1:15" ht="17.25" thickBot="1" x14ac:dyDescent="0.35">
      <c r="A51" s="88" t="s">
        <v>25</v>
      </c>
      <c r="B51" s="89" t="s">
        <v>23</v>
      </c>
      <c r="C51" s="89">
        <v>20</v>
      </c>
      <c r="D51" s="90">
        <f>('STDs and Samples'!I64)</f>
        <v>-5.9288122747362282E-2</v>
      </c>
      <c r="E51" s="90">
        <f>('STDs and Samples'!J64)</f>
        <v>23709.090803218533</v>
      </c>
      <c r="F51" s="90"/>
      <c r="G51" s="90"/>
      <c r="H51" s="90"/>
      <c r="I51" s="90"/>
      <c r="J51" s="90"/>
      <c r="K51" s="90"/>
      <c r="L51" s="90"/>
      <c r="M51" s="90"/>
      <c r="N51" s="90"/>
      <c r="O51" s="91"/>
    </row>
    <row r="52" spans="1:15" ht="16.5" x14ac:dyDescent="0.3">
      <c r="A52" s="75" t="s">
        <v>25</v>
      </c>
      <c r="B52" s="41" t="s">
        <v>19</v>
      </c>
      <c r="C52" s="41">
        <v>35</v>
      </c>
      <c r="D52" s="4">
        <f>('STDs and Samples'!I49)</f>
        <v>-0.21482875447703598</v>
      </c>
      <c r="E52" s="4">
        <f>('STDs and Samples'!J49)</f>
        <v>19013.113043607369</v>
      </c>
      <c r="F52" s="4"/>
      <c r="G52" s="4"/>
      <c r="H52" s="4"/>
      <c r="I52" s="4"/>
      <c r="J52" s="4">
        <f>AVERAGE(D52:D56)</f>
        <v>-0.19383076919352996</v>
      </c>
      <c r="K52" s="4">
        <f>STDEV(D52:D56)</f>
        <v>0.17030522813357354</v>
      </c>
      <c r="L52" s="4">
        <f>K52/SQRT(5)</f>
        <v>7.6162813406056018E-2</v>
      </c>
      <c r="M52" s="4">
        <f>AVERAGE(E52:E56)</f>
        <v>26334.597157980395</v>
      </c>
      <c r="N52" s="4">
        <f>STDEV(E52:E56)</f>
        <v>7003.680208624688</v>
      </c>
      <c r="O52" s="7">
        <f>N52/SQRT(5)</f>
        <v>3132.1410078309423</v>
      </c>
    </row>
    <row r="53" spans="1:15" ht="16.5" x14ac:dyDescent="0.3">
      <c r="A53" s="73" t="s">
        <v>25</v>
      </c>
      <c r="B53" s="12" t="s">
        <v>20</v>
      </c>
      <c r="C53" s="12">
        <v>35</v>
      </c>
      <c r="D53" s="5">
        <f>('STDs and Samples'!I53)</f>
        <v>-0.26537945978917976</v>
      </c>
      <c r="E53" s="5">
        <f>('STDs and Samples'!J53)</f>
        <v>26676.67706901973</v>
      </c>
      <c r="F53" s="5"/>
      <c r="G53" s="5"/>
      <c r="H53" s="5"/>
      <c r="I53" s="5"/>
      <c r="J53" s="5"/>
      <c r="K53" s="5"/>
      <c r="L53" s="5"/>
      <c r="M53" s="5"/>
      <c r="N53" s="5"/>
      <c r="O53" s="9"/>
    </row>
    <row r="54" spans="1:15" ht="16.5" x14ac:dyDescent="0.3">
      <c r="A54" s="73" t="s">
        <v>25</v>
      </c>
      <c r="B54" s="12" t="s">
        <v>21</v>
      </c>
      <c r="C54" s="12">
        <v>35</v>
      </c>
      <c r="D54" s="5">
        <f>('STDs and Samples'!I57)</f>
        <v>9.2363993189069404E-2</v>
      </c>
      <c r="E54" s="5">
        <f>('STDs and Samples'!J57)</f>
        <v>31082.913058109963</v>
      </c>
      <c r="F54" s="5"/>
      <c r="G54" s="5"/>
      <c r="H54" s="5"/>
      <c r="I54" s="5"/>
      <c r="J54" s="5"/>
      <c r="K54" s="5"/>
      <c r="L54" s="5"/>
      <c r="M54" s="5"/>
      <c r="N54" s="5"/>
      <c r="O54" s="9"/>
    </row>
    <row r="55" spans="1:15" ht="16.5" x14ac:dyDescent="0.3">
      <c r="A55" s="73" t="s">
        <v>25</v>
      </c>
      <c r="B55" s="12" t="s">
        <v>22</v>
      </c>
      <c r="C55" s="12">
        <v>35</v>
      </c>
      <c r="D55" s="5">
        <f>('STDs and Samples'!I61)</f>
        <v>-0.22066152816689866</v>
      </c>
      <c r="E55" s="5">
        <f>('STDs and Samples'!J61)</f>
        <v>19786.929967057687</v>
      </c>
      <c r="F55" s="5"/>
      <c r="G55" s="5"/>
      <c r="H55" s="5"/>
      <c r="I55" s="5"/>
      <c r="J55" s="5"/>
      <c r="K55" s="5"/>
      <c r="L55" s="5"/>
      <c r="M55" s="5"/>
      <c r="N55" s="5"/>
      <c r="O55" s="9"/>
    </row>
    <row r="56" spans="1:15" ht="17.25" thickBot="1" x14ac:dyDescent="0.35">
      <c r="A56" s="92" t="s">
        <v>25</v>
      </c>
      <c r="B56" s="22" t="s">
        <v>23</v>
      </c>
      <c r="C56" s="22">
        <v>35</v>
      </c>
      <c r="D56" s="28">
        <f>('STDs and Samples'!I65)</f>
        <v>-0.36064809672360476</v>
      </c>
      <c r="E56" s="28">
        <f>('STDs and Samples'!J65)</f>
        <v>35113.352652107234</v>
      </c>
      <c r="F56" s="28"/>
      <c r="G56" s="28"/>
      <c r="H56" s="28"/>
      <c r="I56" s="28"/>
      <c r="J56" s="28"/>
      <c r="K56" s="28"/>
      <c r="L56" s="28"/>
      <c r="M56" s="28"/>
      <c r="N56" s="28"/>
      <c r="O56" s="93"/>
    </row>
    <row r="57" spans="1:15" ht="16.5" x14ac:dyDescent="0.3">
      <c r="A57" s="96" t="s">
        <v>25</v>
      </c>
      <c r="B57" s="97" t="s">
        <v>19</v>
      </c>
      <c r="C57" s="97">
        <v>50</v>
      </c>
      <c r="D57" s="98">
        <f>('STDs and Samples'!I50)</f>
        <v>-0.11372734385274819</v>
      </c>
      <c r="E57" s="98">
        <f>('STDs and Samples'!J50)</f>
        <v>29050.048894039421</v>
      </c>
      <c r="F57" s="98"/>
      <c r="G57" s="98"/>
      <c r="H57" s="98"/>
      <c r="I57" s="98"/>
      <c r="J57" s="98">
        <f>AVERAGE(D57:D61)</f>
        <v>-0.24671458398161894</v>
      </c>
      <c r="K57" s="98">
        <f>STDEV(D57:D61)</f>
        <v>0.12126777746532157</v>
      </c>
      <c r="L57" s="98">
        <f>K57/SQRT(5)</f>
        <v>5.4232598778555234E-2</v>
      </c>
      <c r="M57" s="98">
        <f>AVERAGE(E57:E61)</f>
        <v>33385.349620608227</v>
      </c>
      <c r="N57" s="98">
        <f>STDEV(E57:E61)</f>
        <v>11932.583949171109</v>
      </c>
      <c r="O57" s="99">
        <f>N57/SQRT(5)</f>
        <v>5336.4137715138986</v>
      </c>
    </row>
    <row r="58" spans="1:15" ht="16.5" x14ac:dyDescent="0.3">
      <c r="A58" s="83" t="s">
        <v>25</v>
      </c>
      <c r="B58" s="84" t="s">
        <v>20</v>
      </c>
      <c r="C58" s="84">
        <v>50</v>
      </c>
      <c r="D58" s="85">
        <f>('STDs and Samples'!I54)</f>
        <v>-0.14289121230206181</v>
      </c>
      <c r="E58" s="85">
        <f>('STDs and Samples'!J54)</f>
        <v>25897.636349756114</v>
      </c>
      <c r="F58" s="85"/>
      <c r="G58" s="85"/>
      <c r="H58" s="85"/>
      <c r="I58" s="85"/>
      <c r="J58" s="85"/>
      <c r="K58" s="85"/>
      <c r="L58" s="85"/>
      <c r="M58" s="85"/>
      <c r="N58" s="85"/>
      <c r="O58" s="86"/>
    </row>
    <row r="59" spans="1:15" ht="16.5" x14ac:dyDescent="0.3">
      <c r="A59" s="83" t="s">
        <v>25</v>
      </c>
      <c r="B59" s="84" t="s">
        <v>21</v>
      </c>
      <c r="C59" s="84">
        <v>50</v>
      </c>
      <c r="D59" s="85">
        <f>('STDs and Samples'!I58)</f>
        <v>-0.25954668609931697</v>
      </c>
      <c r="E59" s="85">
        <f>('STDs and Samples'!J58)</f>
        <v>52538.40208139742</v>
      </c>
      <c r="F59" s="85"/>
      <c r="G59" s="85"/>
      <c r="H59" s="85"/>
      <c r="I59" s="85"/>
      <c r="J59" s="85"/>
      <c r="K59" s="85"/>
      <c r="L59" s="85"/>
      <c r="M59" s="85"/>
      <c r="N59" s="85"/>
      <c r="O59" s="86"/>
    </row>
    <row r="60" spans="1:15" ht="16.5" x14ac:dyDescent="0.3">
      <c r="A60" s="83" t="s">
        <v>25</v>
      </c>
      <c r="B60" s="84" t="s">
        <v>22</v>
      </c>
      <c r="C60" s="84">
        <v>50</v>
      </c>
      <c r="D60" s="85">
        <f>('STDs and Samples'!I62)</f>
        <v>-0.40925454413912776</v>
      </c>
      <c r="E60" s="85">
        <f>('STDs and Samples'!J62)</f>
        <v>22614.649355525242</v>
      </c>
      <c r="F60" s="85"/>
      <c r="G60" s="85"/>
      <c r="H60" s="85"/>
      <c r="I60" s="85"/>
      <c r="J60" s="85"/>
      <c r="K60" s="85"/>
      <c r="L60" s="85"/>
      <c r="M60" s="85"/>
      <c r="N60" s="85"/>
      <c r="O60" s="86"/>
    </row>
    <row r="61" spans="1:15" ht="17.25" thickBot="1" x14ac:dyDescent="0.35">
      <c r="A61" s="88" t="s">
        <v>25</v>
      </c>
      <c r="B61" s="89" t="s">
        <v>23</v>
      </c>
      <c r="C61" s="89">
        <v>50</v>
      </c>
      <c r="D61" s="90">
        <f>('STDs and Samples'!I66)</f>
        <v>-0.30815313351483997</v>
      </c>
      <c r="E61" s="90">
        <f>('STDs and Samples'!J66)</f>
        <v>36826.011422322954</v>
      </c>
      <c r="F61" s="90"/>
      <c r="G61" s="90"/>
      <c r="H61" s="90"/>
      <c r="I61" s="90"/>
      <c r="J61" s="90"/>
      <c r="K61" s="90"/>
      <c r="L61" s="90"/>
      <c r="M61" s="90"/>
      <c r="N61" s="90"/>
      <c r="O61" s="91"/>
    </row>
    <row r="62" spans="1:15" ht="16.5" x14ac:dyDescent="0.3">
      <c r="A62" s="1"/>
      <c r="B62" s="1"/>
      <c r="C62" s="1"/>
      <c r="D62" s="1"/>
      <c r="E62" s="1"/>
      <c r="F62" s="1"/>
      <c r="G62" s="1"/>
      <c r="H62" s="1"/>
    </row>
  </sheetData>
  <sortState xmlns:xlrd2="http://schemas.microsoft.com/office/spreadsheetml/2017/richdata2" ref="A2:S62">
    <sortCondition ref="A2:A62"/>
    <sortCondition ref="C2:C62"/>
    <sortCondition ref="B2:B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STDs and Samples</vt:lpstr>
      <vt:lpstr>Sheet1</vt:lpstr>
      <vt:lpstr>'STDs and Samples'!Print_Titles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Hopple</dc:creator>
  <cp:lastModifiedBy>Read, Zoe</cp:lastModifiedBy>
  <cp:lastPrinted>2021-07-14T18:10:05Z</cp:lastPrinted>
  <dcterms:created xsi:type="dcterms:W3CDTF">2014-08-19T17:33:21Z</dcterms:created>
  <dcterms:modified xsi:type="dcterms:W3CDTF">2026-10-13T16:26:48Z</dcterms:modified>
</cp:coreProperties>
</file>