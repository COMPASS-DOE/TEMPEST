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real/Data/gas_wells/TEMPEST_SGW_2021_Data/2021 Raw Data/"/>
    </mc:Choice>
  </mc:AlternateContent>
  <xr:revisionPtr revIDLastSave="0" documentId="13_ncr:1_{CE1A8AD5-55AC-4253-812A-5A418FD9DF50}" xr6:coauthVersionLast="47" xr6:coauthVersionMax="47" xr10:uidLastSave="{00000000-0000-0000-0000-000000000000}"/>
  <bookViews>
    <workbookView xWindow="-19320" yWindow="690" windowWidth="19440" windowHeight="14880" xr2:uid="{00000000-000D-0000-FFFF-FFFF00000000}"/>
  </bookViews>
  <sheets>
    <sheet name="June 29 - STDs and Sampl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42" i="1" l="1"/>
  <c r="P43" i="1"/>
  <c r="P41" i="1"/>
  <c r="P8" i="1"/>
  <c r="O29" i="1"/>
  <c r="O42" i="1"/>
  <c r="P29" i="1"/>
  <c r="O26" i="1"/>
  <c r="J57" i="2" l="1"/>
  <c r="N57" i="2"/>
  <c r="O57" i="2" s="1"/>
  <c r="M57" i="2"/>
  <c r="L57" i="2"/>
  <c r="K57" i="2"/>
  <c r="N52" i="2"/>
  <c r="O52" i="2" s="1"/>
  <c r="M52" i="2"/>
  <c r="K52" i="2"/>
  <c r="L52" i="2" s="1"/>
  <c r="J52" i="2"/>
  <c r="N47" i="2"/>
  <c r="O47" i="2" s="1"/>
  <c r="M47" i="2"/>
  <c r="K47" i="2"/>
  <c r="L47" i="2" s="1"/>
  <c r="J47" i="2"/>
  <c r="O42" i="2"/>
  <c r="N42" i="2"/>
  <c r="M42" i="2"/>
  <c r="K42" i="2"/>
  <c r="L42" i="2" s="1"/>
  <c r="J42" i="2"/>
  <c r="N37" i="2"/>
  <c r="O37" i="2" s="1"/>
  <c r="M37" i="2"/>
  <c r="K37" i="2"/>
  <c r="L37" i="2" s="1"/>
  <c r="J37" i="2"/>
  <c r="N32" i="2"/>
  <c r="O32" i="2" s="1"/>
  <c r="M32" i="2"/>
  <c r="K32" i="2"/>
  <c r="L32" i="2" s="1"/>
  <c r="J32" i="2"/>
  <c r="N27" i="2"/>
  <c r="O27" i="2" s="1"/>
  <c r="M27" i="2"/>
  <c r="K27" i="2"/>
  <c r="L27" i="2" s="1"/>
  <c r="J27" i="2"/>
  <c r="N22" i="2"/>
  <c r="O22" i="2" s="1"/>
  <c r="M22" i="2"/>
  <c r="K22" i="2"/>
  <c r="L22" i="2" s="1"/>
  <c r="J22" i="2"/>
  <c r="O17" i="2"/>
  <c r="N17" i="2"/>
  <c r="M17" i="2"/>
  <c r="K17" i="2"/>
  <c r="L17" i="2" s="1"/>
  <c r="J17" i="2"/>
  <c r="O12" i="2"/>
  <c r="N12" i="2"/>
  <c r="M12" i="2"/>
  <c r="K12" i="2"/>
  <c r="L12" i="2" s="1"/>
  <c r="J12" i="2"/>
  <c r="N7" i="2"/>
  <c r="O7" i="2" s="1"/>
  <c r="M7" i="2"/>
  <c r="K7" i="2"/>
  <c r="L7" i="2" s="1"/>
  <c r="J7" i="2"/>
  <c r="N2" i="2"/>
  <c r="O2" i="2" s="1"/>
  <c r="M2" i="2"/>
  <c r="L2" i="2"/>
  <c r="K2" i="2"/>
  <c r="J2" i="2"/>
  <c r="O43" i="1"/>
  <c r="O41" i="1"/>
  <c r="O38" i="1"/>
  <c r="O14" i="1"/>
  <c r="P14" i="1"/>
  <c r="P11" i="1"/>
  <c r="P38" i="1" l="1"/>
  <c r="P35" i="1"/>
  <c r="O35" i="1"/>
  <c r="P32" i="1"/>
  <c r="O32" i="1"/>
  <c r="P26" i="1"/>
  <c r="P20" i="1"/>
  <c r="O20" i="1"/>
  <c r="P17" i="1"/>
  <c r="O17" i="1"/>
  <c r="O11" i="1"/>
  <c r="O8" i="1"/>
  <c r="AA14" i="1" l="1"/>
  <c r="AA30" i="1"/>
  <c r="AA29" i="1"/>
  <c r="AA15" i="1"/>
  <c r="AA16" i="1"/>
  <c r="I7" i="1" l="1"/>
  <c r="I25" i="1"/>
  <c r="I19" i="1"/>
  <c r="I48" i="1"/>
  <c r="I58" i="1"/>
  <c r="I14" i="1"/>
  <c r="I24" i="1"/>
  <c r="I37" i="1"/>
  <c r="I39" i="1"/>
  <c r="I65" i="1"/>
  <c r="I35" i="1"/>
  <c r="I17" i="1"/>
  <c r="I20" i="1"/>
  <c r="I56" i="1"/>
  <c r="I53" i="1"/>
  <c r="I55" i="1"/>
  <c r="I62" i="1"/>
  <c r="I42" i="1"/>
  <c r="I29" i="1"/>
  <c r="I49" i="1"/>
  <c r="I27" i="1"/>
  <c r="I64" i="1"/>
  <c r="I12" i="1"/>
  <c r="I22" i="1"/>
  <c r="I40" i="1"/>
  <c r="I45" i="1"/>
  <c r="I47" i="1"/>
  <c r="I30" i="1"/>
  <c r="I23" i="1"/>
  <c r="I11" i="1"/>
  <c r="I31" i="1"/>
  <c r="I10" i="1"/>
  <c r="I43" i="1"/>
  <c r="I41" i="1"/>
  <c r="I28" i="1"/>
  <c r="I38" i="1"/>
  <c r="I9" i="1"/>
  <c r="I61" i="1"/>
  <c r="I66" i="1"/>
  <c r="I32" i="1"/>
  <c r="I60" i="1"/>
  <c r="I26" i="1"/>
  <c r="I51" i="1"/>
  <c r="I57" i="1"/>
  <c r="I36" i="1"/>
  <c r="I46" i="1"/>
  <c r="I33" i="1"/>
  <c r="I50" i="1"/>
  <c r="I59" i="1"/>
  <c r="I18" i="1"/>
  <c r="I44" i="1"/>
  <c r="I54" i="1"/>
  <c r="I13" i="1"/>
  <c r="I15" i="1"/>
  <c r="I16" i="1"/>
  <c r="I34" i="1"/>
  <c r="I52" i="1"/>
  <c r="I21" i="1"/>
  <c r="I63" i="1"/>
  <c r="I8" i="1"/>
  <c r="J65" i="1"/>
  <c r="J63" i="1"/>
  <c r="J62" i="1"/>
  <c r="J54" i="1"/>
  <c r="J46" i="1"/>
  <c r="J38" i="1"/>
  <c r="J30" i="1"/>
  <c r="J22" i="1"/>
  <c r="J14" i="1"/>
  <c r="J53" i="1"/>
  <c r="J45" i="1"/>
  <c r="J37" i="1"/>
  <c r="J29" i="1"/>
  <c r="J21" i="1"/>
  <c r="J13" i="1"/>
  <c r="J60" i="1"/>
  <c r="J52" i="1"/>
  <c r="J44" i="1"/>
  <c r="J36" i="1"/>
  <c r="J28" i="1"/>
  <c r="J20" i="1"/>
  <c r="J12" i="1"/>
  <c r="J51" i="1"/>
  <c r="J43" i="1"/>
  <c r="J35" i="1"/>
  <c r="J27" i="1"/>
  <c r="J19" i="1"/>
  <c r="J11" i="1"/>
  <c r="J66" i="1"/>
  <c r="J58" i="1"/>
  <c r="J50" i="1"/>
  <c r="J42" i="1"/>
  <c r="J34" i="1"/>
  <c r="J26" i="1"/>
  <c r="J18" i="1"/>
  <c r="J10" i="1"/>
  <c r="J57" i="1"/>
  <c r="J49" i="1"/>
  <c r="J41" i="1"/>
  <c r="J33" i="1"/>
  <c r="J25" i="1"/>
  <c r="J17" i="1"/>
  <c r="J9" i="1"/>
  <c r="J64" i="1"/>
  <c r="J56" i="1"/>
  <c r="J48" i="1"/>
  <c r="J40" i="1"/>
  <c r="J32" i="1"/>
  <c r="J24" i="1"/>
  <c r="J16" i="1"/>
  <c r="J8" i="1"/>
  <c r="J55" i="1"/>
  <c r="J47" i="1"/>
  <c r="J39" i="1"/>
  <c r="J31" i="1"/>
  <c r="J23" i="1"/>
  <c r="J15" i="1"/>
  <c r="J7" i="1"/>
  <c r="J61" i="1"/>
  <c r="J59" i="1"/>
</calcChain>
</file>

<file path=xl/sharedStrings.xml><?xml version="1.0" encoding="utf-8"?>
<sst xmlns="http://schemas.openxmlformats.org/spreadsheetml/2006/main" count="317" uniqueCount="48">
  <si>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</si>
  <si>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</si>
  <si>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</si>
  <si>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</si>
  <si>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</si>
  <si>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</si>
  <si>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</si>
  <si>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</si>
  <si>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</si>
  <si>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</si>
  <si>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</si>
  <si>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</si>
  <si>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</si>
  <si>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</si>
  <si>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</si>
  <si>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</si>
  <si>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</si>
  <si>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</si>
  <si>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</si>
  <si>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</si>
  <si>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</si>
  <si>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</si>
  <si>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</si>
  <si>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</si>
  <si>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</si>
  <si>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</si>
  <si>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</si>
  <si>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</si>
  <si>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</si>
  <si>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</si>
  <si>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</si>
  <si>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</si>
  <si>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</si>
  <si>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</si>
  <si>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</si>
  <si>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</si>
  <si>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</si>
  <si>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</si>
  <si>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</si>
  <si>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</si>
  <si>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</si>
  <si>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</si>
  <si>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</si>
  <si>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</si>
  <si>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</si>
  <si>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</si>
  <si>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</si>
  <si>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Analyst: A. Stearns; A. Hopple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</si>
</sst>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8" xfId="0" applyBorder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4" xfId="0" applyFont="1" applyBorder="1"/>
    <xf numFmtId="0" fontId="1" fillId="0" borderId="4" xfId="0" applyFont="1" applyBorder="1"/>
    <xf numFmtId="0" fontId="0" fillId="0" borderId="10" xfId="0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5" xfId="0" applyFont="1" applyBorder="1"/>
    <xf numFmtId="14" fontId="1" fillId="0" borderId="6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0" borderId="20" xfId="0" applyFont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9" xfId="0" applyFon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19" xfId="0" applyBorder="1"/>
    <xf numFmtId="0" fontId="1" fillId="0" borderId="2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4" fontId="1" fillId="0" borderId="5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Border="1" applyAlignment="1">
      <alignment horizontal="center"/>
    </xf>
    <xf numFmtId="0" fontId="1" fillId="0" borderId="21" xfId="0" applyFont="1" applyBorder="1"/>
    <xf numFmtId="0" fontId="4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 applyAlignment="1">
      <alignment horizontal="center" vertical="center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657874323781504"/>
                  <c:y val="-0.13649564236909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'June 29 - STDs and Samples'!$P$8:$P$22</c:f>
              <c:numCache>
                <c:formatCode>General</c:formatCode>
                <c:ptCount val="15"/>
                <c:pt idx="0">
                  <c:v>3717</c:v>
                </c:pt>
                <c:pt idx="3">
                  <c:v>2935</c:v>
                </c:pt>
                <c:pt idx="6">
                  <c:v>1895</c:v>
                </c:pt>
                <c:pt idx="9">
                  <c:v>1297.6666666666667</c:v>
                </c:pt>
                <c:pt idx="12">
                  <c:v>662.66666666666663</c:v>
                </c:pt>
              </c:numCache>
            </c:numRef>
          </c:xVal>
          <c:yVal>
            <c:numRef>
              <c:f>'June 29 - STDs and Samples'!$O$8:$O$22</c:f>
              <c:numCache>
                <c:formatCode>General</c:formatCode>
                <c:ptCount val="15"/>
                <c:pt idx="0">
                  <c:v>10.199999999999999</c:v>
                </c:pt>
                <c:pt idx="3">
                  <c:v>7.5</c:v>
                </c:pt>
                <c:pt idx="6">
                  <c:v>5</c:v>
                </c:pt>
                <c:pt idx="9">
                  <c:v>3</c:v>
                </c:pt>
                <c:pt idx="12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'June 29 - STDs and Samples'!$P$26:$P$43</c:f>
              <c:numCache>
                <c:formatCode>General</c:formatCode>
                <c:ptCount val="18"/>
                <c:pt idx="0">
                  <c:v>186446</c:v>
                </c:pt>
                <c:pt idx="3">
                  <c:v>151678</c:v>
                </c:pt>
                <c:pt idx="6">
                  <c:v>99249.333333333328</c:v>
                </c:pt>
                <c:pt idx="9">
                  <c:v>70819.666666666672</c:v>
                </c:pt>
                <c:pt idx="12">
                  <c:v>35861</c:v>
                </c:pt>
                <c:pt idx="15">
                  <c:v>229931</c:v>
                </c:pt>
                <c:pt idx="16">
                  <c:v>483780</c:v>
                </c:pt>
                <c:pt idx="17">
                  <c:v>996647</c:v>
                </c:pt>
              </c:numCache>
            </c:numRef>
          </c:xVal>
          <c:yVal>
            <c:numRef>
              <c:f>'June 29 - STDs and Samples'!$O$26:$O$43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9.8418624002780258E-2</c:v>
                  </c:pt>
                  <c:pt idx="1">
                    <c:v>0.12889955180370619</c:v>
                  </c:pt>
                  <c:pt idx="2">
                    <c:v>0.30102417374764784</c:v>
                  </c:pt>
                  <c:pt idx="3">
                    <c:v>0.21974948371045921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9.8418624002780258E-2</c:v>
                  </c:pt>
                  <c:pt idx="1">
                    <c:v>0.12889955180370619</c:v>
                  </c:pt>
                  <c:pt idx="2">
                    <c:v>0.30102417374764784</c:v>
                  </c:pt>
                  <c:pt idx="3">
                    <c:v>0.21974948371045921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1.5010559484183212</c:v>
                </c:pt>
                <c:pt idx="1">
                  <c:v>1.1208782337157739</c:v>
                </c:pt>
                <c:pt idx="2">
                  <c:v>0.82592630836286796</c:v>
                </c:pt>
                <c:pt idx="3">
                  <c:v>0.78193880418240791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0.21296771291953989</c:v>
                  </c:pt>
                  <c:pt idx="1">
                    <c:v>0.37014504424453748</c:v>
                  </c:pt>
                  <c:pt idx="2">
                    <c:v>0.23760084710088236</c:v>
                  </c:pt>
                  <c:pt idx="3">
                    <c:v>8.535690533058865E-2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0.21296771291953989</c:v>
                  </c:pt>
                  <c:pt idx="1">
                    <c:v>0.37014504424453748</c:v>
                  </c:pt>
                  <c:pt idx="2">
                    <c:v>0.23760084710088236</c:v>
                  </c:pt>
                  <c:pt idx="3">
                    <c:v>8.535690533058865E-2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0.15278711430078901</c:v>
                  </c:pt>
                  <c:pt idx="1">
                    <c:v>0.12234828346831043</c:v>
                  </c:pt>
                  <c:pt idx="2">
                    <c:v>0.30002818614426291</c:v>
                  </c:pt>
                  <c:pt idx="3">
                    <c:v>2.3460864266896007E-2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0.15278711430078901</c:v>
                  </c:pt>
                  <c:pt idx="1">
                    <c:v>0.12234828346831043</c:v>
                  </c:pt>
                  <c:pt idx="2">
                    <c:v>0.30002818614426291</c:v>
                  </c:pt>
                  <c:pt idx="3">
                    <c:v>2.3460864266896007E-2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1.1684004480535923</c:v>
                </c:pt>
                <c:pt idx="1">
                  <c:v>1.0490057938494863</c:v>
                </c:pt>
                <c:pt idx="2">
                  <c:v>0.7634797622495364</c:v>
                </c:pt>
                <c:pt idx="3">
                  <c:v>0.44417761136816142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0.15278711430078901</c:v>
                  </c:pt>
                  <c:pt idx="1">
                    <c:v>0.12234828346831043</c:v>
                  </c:pt>
                  <c:pt idx="2">
                    <c:v>0.30002818614426291</c:v>
                  </c:pt>
                  <c:pt idx="3">
                    <c:v>2.3460864266896007E-2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0.15278711430078901</c:v>
                  </c:pt>
                  <c:pt idx="1">
                    <c:v>0.12234828346831043</c:v>
                  </c:pt>
                  <c:pt idx="2">
                    <c:v>0.30002818614426291</c:v>
                  </c:pt>
                  <c:pt idx="3">
                    <c:v>2.3460864266896007E-2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0.21296771291953989</c:v>
                  </c:pt>
                  <c:pt idx="1">
                    <c:v>0.37014504424453748</c:v>
                  </c:pt>
                  <c:pt idx="2">
                    <c:v>0.23760084710088236</c:v>
                  </c:pt>
                  <c:pt idx="3">
                    <c:v>8.535690533058865E-2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0.21296771291953989</c:v>
                  </c:pt>
                  <c:pt idx="1">
                    <c:v>0.37014504424453748</c:v>
                  </c:pt>
                  <c:pt idx="2">
                    <c:v>0.23760084710088236</c:v>
                  </c:pt>
                  <c:pt idx="3">
                    <c:v>8.535690533058865E-2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1.2551972196953929</c:v>
                </c:pt>
                <c:pt idx="1">
                  <c:v>0.32321197487189646</c:v>
                </c:pt>
                <c:pt idx="2">
                  <c:v>0.52861790957172317</c:v>
                </c:pt>
                <c:pt idx="3">
                  <c:v>0.15924069812777097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1.7233499427588601</c:v>
                </c:pt>
                <c:pt idx="1">
                  <c:v>0.85341849847565543</c:v>
                </c:pt>
                <c:pt idx="2">
                  <c:v>0.35855907644548046</c:v>
                </c:pt>
                <c:pt idx="3">
                  <c:v>0.6649006234165411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1.2088532420766938</c:v>
                </c:pt>
                <c:pt idx="1">
                  <c:v>1.3364955533146361</c:v>
                </c:pt>
                <c:pt idx="2">
                  <c:v>0.40568854521025899</c:v>
                </c:pt>
                <c:pt idx="3">
                  <c:v>0.53725831217859921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1.7154950312980635</c:v>
                </c:pt>
                <c:pt idx="1">
                  <c:v>1.5132310611825557</c:v>
                </c:pt>
                <c:pt idx="2">
                  <c:v>1.5426869791605422</c:v>
                </c:pt>
                <c:pt idx="3">
                  <c:v>0.72184873150731521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1.39344366140541</c:v>
                </c:pt>
                <c:pt idx="1">
                  <c:v>0.98498826544399565</c:v>
                </c:pt>
                <c:pt idx="2">
                  <c:v>1.5780340807341262</c:v>
                </c:pt>
                <c:pt idx="3">
                  <c:v>1.6251635494989047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1.464137864552578</c:v>
                </c:pt>
                <c:pt idx="1">
                  <c:v>0.9162577901620268</c:v>
                </c:pt>
                <c:pt idx="2">
                  <c:v>0.24466286026393225</c:v>
                </c:pt>
                <c:pt idx="3">
                  <c:v>0.3605228043106794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0.45674546970543584</c:v>
                </c:pt>
                <c:pt idx="1">
                  <c:v>0.89662051151003586</c:v>
                </c:pt>
                <c:pt idx="2">
                  <c:v>0.64526334476455016</c:v>
                </c:pt>
                <c:pt idx="3">
                  <c:v>0.28000996183751603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1.523049700508551</c:v>
                </c:pt>
                <c:pt idx="1">
                  <c:v>0.70810263645092153</c:v>
                </c:pt>
                <c:pt idx="2">
                  <c:v>0.24466286026393225</c:v>
                </c:pt>
                <c:pt idx="3">
                  <c:v>0.77486938386769122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1.428790762978994</c:v>
                </c:pt>
                <c:pt idx="1">
                  <c:v>1.1931434191551009</c:v>
                </c:pt>
                <c:pt idx="2">
                  <c:v>0.29768351262430803</c:v>
                </c:pt>
                <c:pt idx="3">
                  <c:v>0.39390617801906425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1.5348320676997456</c:v>
                </c:pt>
                <c:pt idx="1">
                  <c:v>2.3458516760269772</c:v>
                </c:pt>
                <c:pt idx="2">
                  <c:v>1.4170083957877995</c:v>
                </c:pt>
                <c:pt idx="3">
                  <c:v>0.3781963550974714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0.89858423937523502</c:v>
                </c:pt>
                <c:pt idx="1">
                  <c:v>0.10131072610439729</c:v>
                </c:pt>
                <c:pt idx="2">
                  <c:v>1.2127806978070921</c:v>
                </c:pt>
                <c:pt idx="3">
                  <c:v>0.39390617801906425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1.5603605299473342</c:v>
                </c:pt>
                <c:pt idx="1">
                  <c:v>0.15629510632997223</c:v>
                </c:pt>
                <c:pt idx="2">
                  <c:v>0.2152069422859455</c:v>
                </c:pt>
                <c:pt idx="3">
                  <c:v>0.15629510632997223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1.5112673333173565</c:v>
                </c:pt>
                <c:pt idx="1">
                  <c:v>0.6472270726297491</c:v>
                </c:pt>
                <c:pt idx="2">
                  <c:v>7.0517885748401232E-3</c:v>
                </c:pt>
                <c:pt idx="3">
                  <c:v>0.11112936543039287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1.2618738944370698</c:v>
                </c:pt>
                <c:pt idx="1">
                  <c:v>0.58438778094337773</c:v>
                </c:pt>
                <c:pt idx="2">
                  <c:v>1.5721428971385287</c:v>
                </c:pt>
                <c:pt idx="3">
                  <c:v>0.2328804930727375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1.2422366157850786</c:v>
                </c:pt>
                <c:pt idx="1">
                  <c:v>4.0435162283225079E-2</c:v>
                </c:pt>
                <c:pt idx="2">
                  <c:v>2.4725339361632237E-2</c:v>
                </c:pt>
                <c:pt idx="3">
                  <c:v>0.13665782767798129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0.70024772499012511</c:v>
                </c:pt>
                <c:pt idx="1">
                  <c:v>0.18771475217315814</c:v>
                </c:pt>
                <c:pt idx="2">
                  <c:v>0.82396258049766891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  <c:pt idx="0">
                  <c:v>19.5336842105263</c:v>
                </c:pt>
                <c:pt idx="1">
                  <c:v>19.032631578947399</c:v>
                </c:pt>
                <c:pt idx="2">
                  <c:v>16.370833333333302</c:v>
                </c:pt>
                <c:pt idx="3">
                  <c:v>19.1458333333333</c:v>
                </c:pt>
                <c:pt idx="4">
                  <c:v>19.5136842105263</c:v>
                </c:pt>
                <c:pt idx="6">
                  <c:v>19.356989247311802</c:v>
                </c:pt>
                <c:pt idx="7">
                  <c:v>19.778723404255299</c:v>
                </c:pt>
                <c:pt idx="8">
                  <c:v>19.455208333333299</c:v>
                </c:pt>
                <c:pt idx="9">
                  <c:v>19.414583333333301</c:v>
                </c:pt>
                <c:pt idx="10">
                  <c:v>19.844791666666701</c:v>
                </c:pt>
                <c:pt idx="11">
                  <c:v>19.556249999999999</c:v>
                </c:pt>
                <c:pt idx="12">
                  <c:v>19.546875</c:v>
                </c:pt>
                <c:pt idx="13">
                  <c:v>19.345833333333299</c:v>
                </c:pt>
                <c:pt idx="14">
                  <c:v>19.568750000000001</c:v>
                </c:pt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1.7233499427588601</c:v>
                </c:pt>
                <c:pt idx="1">
                  <c:v>1.2088532420766938</c:v>
                </c:pt>
                <c:pt idx="2">
                  <c:v>1.7154950312980635</c:v>
                </c:pt>
                <c:pt idx="3">
                  <c:v>1.39344366140541</c:v>
                </c:pt>
                <c:pt idx="4">
                  <c:v>1.464137864552578</c:v>
                </c:pt>
                <c:pt idx="5">
                  <c:v>0.45674546970543584</c:v>
                </c:pt>
                <c:pt idx="6">
                  <c:v>1.523049700508551</c:v>
                </c:pt>
                <c:pt idx="7">
                  <c:v>1.428790762978994</c:v>
                </c:pt>
                <c:pt idx="8">
                  <c:v>1.5348320676997456</c:v>
                </c:pt>
                <c:pt idx="9">
                  <c:v>0.89858423937523502</c:v>
                </c:pt>
                <c:pt idx="10">
                  <c:v>1.5603605299473342</c:v>
                </c:pt>
                <c:pt idx="11">
                  <c:v>1.5112673333173565</c:v>
                </c:pt>
                <c:pt idx="12">
                  <c:v>1.2618738944370698</c:v>
                </c:pt>
                <c:pt idx="13">
                  <c:v>1.2422366157850786</c:v>
                </c:pt>
                <c:pt idx="14">
                  <c:v>0.70024772499012511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  <c:pt idx="0">
                  <c:v>19.523958333333301</c:v>
                </c:pt>
                <c:pt idx="1">
                  <c:v>18.673404255319099</c:v>
                </c:pt>
                <c:pt idx="2">
                  <c:v>19.544210526315801</c:v>
                </c:pt>
                <c:pt idx="3">
                  <c:v>19.013541666666701</c:v>
                </c:pt>
                <c:pt idx="4">
                  <c:v>19.376842105263201</c:v>
                </c:pt>
                <c:pt idx="5">
                  <c:v>19.397894736842101</c:v>
                </c:pt>
                <c:pt idx="6">
                  <c:v>19.125</c:v>
                </c:pt>
                <c:pt idx="7">
                  <c:v>19.757291666666699</c:v>
                </c:pt>
                <c:pt idx="8">
                  <c:v>19.282291666666701</c:v>
                </c:pt>
                <c:pt idx="9">
                  <c:v>19.205319148936201</c:v>
                </c:pt>
                <c:pt idx="10">
                  <c:v>19.582291666666698</c:v>
                </c:pt>
                <c:pt idx="11">
                  <c:v>19.268750000000001</c:v>
                </c:pt>
                <c:pt idx="12">
                  <c:v>19.469791666666701</c:v>
                </c:pt>
                <c:pt idx="13">
                  <c:v>19.127083333333299</c:v>
                </c:pt>
                <c:pt idx="14">
                  <c:v>19.379166666666698</c:v>
                </c:pt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0.85341849847565543</c:v>
                </c:pt>
                <c:pt idx="1">
                  <c:v>1.3364955533146361</c:v>
                </c:pt>
                <c:pt idx="2">
                  <c:v>1.5132310611825557</c:v>
                </c:pt>
                <c:pt idx="3">
                  <c:v>0.98498826544399565</c:v>
                </c:pt>
                <c:pt idx="4">
                  <c:v>0.9162577901620268</c:v>
                </c:pt>
                <c:pt idx="5">
                  <c:v>0.89662051151003586</c:v>
                </c:pt>
                <c:pt idx="6">
                  <c:v>0.70810263645092153</c:v>
                </c:pt>
                <c:pt idx="7">
                  <c:v>1.1931434191551009</c:v>
                </c:pt>
                <c:pt idx="8">
                  <c:v>2.3458516760269772</c:v>
                </c:pt>
                <c:pt idx="9">
                  <c:v>0.10131072610439729</c:v>
                </c:pt>
                <c:pt idx="10">
                  <c:v>0.15629510632997223</c:v>
                </c:pt>
                <c:pt idx="11">
                  <c:v>0.6472270726297491</c:v>
                </c:pt>
                <c:pt idx="12">
                  <c:v>0.58438778094337773</c:v>
                </c:pt>
                <c:pt idx="13">
                  <c:v>4.0435162283225079E-2</c:v>
                </c:pt>
                <c:pt idx="14">
                  <c:v>0.18771475217315814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  <c:pt idx="3">
                  <c:v>18.566666666666698</c:v>
                </c:pt>
                <c:pt idx="4">
                  <c:v>18.9389473684211</c:v>
                </c:pt>
                <c:pt idx="6">
                  <c:v>18.553684210526299</c:v>
                </c:pt>
                <c:pt idx="7">
                  <c:v>17.181249999999999</c:v>
                </c:pt>
                <c:pt idx="8">
                  <c:v>18.655208333333299</c:v>
                </c:pt>
                <c:pt idx="9">
                  <c:v>18.7406779661017</c:v>
                </c:pt>
                <c:pt idx="10">
                  <c:v>19.303125000000001</c:v>
                </c:pt>
                <c:pt idx="11">
                  <c:v>18.929166666666699</c:v>
                </c:pt>
                <c:pt idx="12">
                  <c:v>18.9895833333333</c:v>
                </c:pt>
                <c:pt idx="13">
                  <c:v>18.685416666666701</c:v>
                </c:pt>
                <c:pt idx="14">
                  <c:v>18.985416666666701</c:v>
                </c:pt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0.35855907644548046</c:v>
                </c:pt>
                <c:pt idx="1">
                  <c:v>0.40568854521025899</c:v>
                </c:pt>
                <c:pt idx="2">
                  <c:v>1.5426869791605422</c:v>
                </c:pt>
                <c:pt idx="3">
                  <c:v>1.5780340807341262</c:v>
                </c:pt>
                <c:pt idx="4">
                  <c:v>0.24466286026393225</c:v>
                </c:pt>
                <c:pt idx="5">
                  <c:v>0.64526334476455016</c:v>
                </c:pt>
                <c:pt idx="6">
                  <c:v>0.24466286026393225</c:v>
                </c:pt>
                <c:pt idx="7">
                  <c:v>0.29768351262430803</c:v>
                </c:pt>
                <c:pt idx="8">
                  <c:v>1.4170083957877995</c:v>
                </c:pt>
                <c:pt idx="9">
                  <c:v>1.2127806978070921</c:v>
                </c:pt>
                <c:pt idx="10">
                  <c:v>0.2152069422859455</c:v>
                </c:pt>
                <c:pt idx="11">
                  <c:v>7.0517885748401232E-3</c:v>
                </c:pt>
                <c:pt idx="12">
                  <c:v>1.5721428971385287</c:v>
                </c:pt>
                <c:pt idx="13">
                  <c:v>2.4725339361632237E-2</c:v>
                </c:pt>
                <c:pt idx="14">
                  <c:v>0.82396258049766891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  <c:pt idx="0">
                  <c:v>0.324277786189474</c:v>
                </c:pt>
                <c:pt idx="1">
                  <c:v>0.31103275694736798</c:v>
                </c:pt>
                <c:pt idx="2">
                  <c:v>0.38001009193750002</c:v>
                </c:pt>
                <c:pt idx="3">
                  <c:v>0.327429358</c:v>
                </c:pt>
                <c:pt idx="4">
                  <c:v>0.32397399924210502</c:v>
                </c:pt>
                <c:pt idx="6">
                  <c:v>0.331728457870968</c:v>
                </c:pt>
                <c:pt idx="7">
                  <c:v>0.37211204043617002</c:v>
                </c:pt>
                <c:pt idx="8">
                  <c:v>0.3806026091875</c:v>
                </c:pt>
                <c:pt idx="9">
                  <c:v>0.37718298784374998</c:v>
                </c:pt>
                <c:pt idx="10">
                  <c:v>0.35156591021875</c:v>
                </c:pt>
                <c:pt idx="11">
                  <c:v>0.35259226937499999</c:v>
                </c:pt>
                <c:pt idx="12">
                  <c:v>0.37537618196875</c:v>
                </c:pt>
                <c:pt idx="13">
                  <c:v>0.32291767693750001</c:v>
                </c:pt>
                <c:pt idx="14">
                  <c:v>0.36373623231250002</c:v>
                </c:pt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1.7233499427588601</c:v>
                </c:pt>
                <c:pt idx="1">
                  <c:v>1.2088532420766938</c:v>
                </c:pt>
                <c:pt idx="2">
                  <c:v>1.7154950312980635</c:v>
                </c:pt>
                <c:pt idx="3">
                  <c:v>1.39344366140541</c:v>
                </c:pt>
                <c:pt idx="4">
                  <c:v>1.464137864552578</c:v>
                </c:pt>
                <c:pt idx="5">
                  <c:v>0.45674546970543584</c:v>
                </c:pt>
                <c:pt idx="6">
                  <c:v>1.523049700508551</c:v>
                </c:pt>
                <c:pt idx="7">
                  <c:v>1.428790762978994</c:v>
                </c:pt>
                <c:pt idx="8">
                  <c:v>1.5348320676997456</c:v>
                </c:pt>
                <c:pt idx="9">
                  <c:v>0.89858423937523502</c:v>
                </c:pt>
                <c:pt idx="10">
                  <c:v>1.5603605299473342</c:v>
                </c:pt>
                <c:pt idx="11">
                  <c:v>1.5112673333173565</c:v>
                </c:pt>
                <c:pt idx="12">
                  <c:v>1.2618738944370698</c:v>
                </c:pt>
                <c:pt idx="13">
                  <c:v>1.2422366157850786</c:v>
                </c:pt>
                <c:pt idx="14">
                  <c:v>0.70024772499012511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  <c:pt idx="0">
                  <c:v>0.34713395068750003</c:v>
                </c:pt>
                <c:pt idx="1">
                  <c:v>0.39067664557446802</c:v>
                </c:pt>
                <c:pt idx="2">
                  <c:v>0.38827152744210502</c:v>
                </c:pt>
                <c:pt idx="3">
                  <c:v>0.30846674528125001</c:v>
                </c:pt>
                <c:pt idx="4">
                  <c:v>0.336617416</c:v>
                </c:pt>
                <c:pt idx="5">
                  <c:v>0.35260824643157901</c:v>
                </c:pt>
                <c:pt idx="6">
                  <c:v>0.32396545140624999</c:v>
                </c:pt>
                <c:pt idx="7">
                  <c:v>0.31386526271874998</c:v>
                </c:pt>
                <c:pt idx="8">
                  <c:v>0.30183135212500001</c:v>
                </c:pt>
                <c:pt idx="9">
                  <c:v>0.36448704061702097</c:v>
                </c:pt>
                <c:pt idx="10">
                  <c:v>0.26279301531249999</c:v>
                </c:pt>
                <c:pt idx="11">
                  <c:v>0.28644028825000001</c:v>
                </c:pt>
                <c:pt idx="12">
                  <c:v>0.35986123253125002</c:v>
                </c:pt>
                <c:pt idx="13">
                  <c:v>0.31012105796875</c:v>
                </c:pt>
                <c:pt idx="14">
                  <c:v>0.31094736578124998</c:v>
                </c:pt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0.85341849847565543</c:v>
                </c:pt>
                <c:pt idx="1">
                  <c:v>1.3364955533146361</c:v>
                </c:pt>
                <c:pt idx="2">
                  <c:v>1.5132310611825557</c:v>
                </c:pt>
                <c:pt idx="3">
                  <c:v>0.98498826544399565</c:v>
                </c:pt>
                <c:pt idx="4">
                  <c:v>0.9162577901620268</c:v>
                </c:pt>
                <c:pt idx="5">
                  <c:v>0.89662051151003586</c:v>
                </c:pt>
                <c:pt idx="6">
                  <c:v>0.70810263645092153</c:v>
                </c:pt>
                <c:pt idx="7">
                  <c:v>1.1931434191551009</c:v>
                </c:pt>
                <c:pt idx="8">
                  <c:v>2.3458516760269772</c:v>
                </c:pt>
                <c:pt idx="9">
                  <c:v>0.10131072610439729</c:v>
                </c:pt>
                <c:pt idx="10">
                  <c:v>0.15629510632997223</c:v>
                </c:pt>
                <c:pt idx="11">
                  <c:v>0.6472270726297491</c:v>
                </c:pt>
                <c:pt idx="12">
                  <c:v>0.58438778094337773</c:v>
                </c:pt>
                <c:pt idx="13">
                  <c:v>4.0435162283225079E-2</c:v>
                </c:pt>
                <c:pt idx="14">
                  <c:v>0.18771475217315814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  <c:pt idx="3">
                  <c:v>0.36569324310526302</c:v>
                </c:pt>
                <c:pt idx="4">
                  <c:v>0.285441687336842</c:v>
                </c:pt>
                <c:pt idx="6">
                  <c:v>0.24129584995789499</c:v>
                </c:pt>
                <c:pt idx="7">
                  <c:v>0.36608108781249998</c:v>
                </c:pt>
                <c:pt idx="8">
                  <c:v>0.37010575234374998</c:v>
                </c:pt>
                <c:pt idx="9">
                  <c:v>0.37600622840678</c:v>
                </c:pt>
                <c:pt idx="10">
                  <c:v>0.26307408118749998</c:v>
                </c:pt>
                <c:pt idx="11">
                  <c:v>0.27666900643749998</c:v>
                </c:pt>
                <c:pt idx="12">
                  <c:v>0.34575306709374998</c:v>
                </c:pt>
                <c:pt idx="13">
                  <c:v>0.28754042921875</c:v>
                </c:pt>
                <c:pt idx="14">
                  <c:v>0.31653700478125002</c:v>
                </c:pt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0.35855907644548046</c:v>
                </c:pt>
                <c:pt idx="1">
                  <c:v>0.40568854521025899</c:v>
                </c:pt>
                <c:pt idx="2">
                  <c:v>1.5426869791605422</c:v>
                </c:pt>
                <c:pt idx="3">
                  <c:v>1.5780340807341262</c:v>
                </c:pt>
                <c:pt idx="4">
                  <c:v>0.24466286026393225</c:v>
                </c:pt>
                <c:pt idx="5">
                  <c:v>0.64526334476455016</c:v>
                </c:pt>
                <c:pt idx="6">
                  <c:v>0.24466286026393225</c:v>
                </c:pt>
                <c:pt idx="7">
                  <c:v>0.29768351262430803</c:v>
                </c:pt>
                <c:pt idx="8">
                  <c:v>1.4170083957877995</c:v>
                </c:pt>
                <c:pt idx="9">
                  <c:v>1.2127806978070921</c:v>
                </c:pt>
                <c:pt idx="10">
                  <c:v>0.2152069422859455</c:v>
                </c:pt>
                <c:pt idx="11">
                  <c:v>7.0517885748401232E-3</c:v>
                </c:pt>
                <c:pt idx="12">
                  <c:v>1.5721428971385287</c:v>
                </c:pt>
                <c:pt idx="13">
                  <c:v>2.4725339361632237E-2</c:v>
                </c:pt>
                <c:pt idx="14">
                  <c:v>0.82396258049766891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  <c:pt idx="0">
                  <c:v>49.294736842105301</c:v>
                </c:pt>
                <c:pt idx="1">
                  <c:v>103</c:v>
                </c:pt>
                <c:pt idx="2">
                  <c:v>171.40625</c:v>
                </c:pt>
                <c:pt idx="3">
                  <c:v>38.40625</c:v>
                </c:pt>
                <c:pt idx="4">
                  <c:v>45.315789473684198</c:v>
                </c:pt>
                <c:pt idx="6">
                  <c:v>85.075268817204304</c:v>
                </c:pt>
                <c:pt idx="7">
                  <c:v>86.2340425531915</c:v>
                </c:pt>
                <c:pt idx="8">
                  <c:v>58.5104166666667</c:v>
                </c:pt>
                <c:pt idx="9">
                  <c:v>106.260416666667</c:v>
                </c:pt>
                <c:pt idx="10">
                  <c:v>49.25</c:v>
                </c:pt>
                <c:pt idx="11">
                  <c:v>65.6875</c:v>
                </c:pt>
                <c:pt idx="12">
                  <c:v>132.822916666667</c:v>
                </c:pt>
                <c:pt idx="13">
                  <c:v>45.0416666666667</c:v>
                </c:pt>
                <c:pt idx="14">
                  <c:v>89.1979166666667</c:v>
                </c:pt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1.7233499427588601</c:v>
                </c:pt>
                <c:pt idx="1">
                  <c:v>1.2088532420766938</c:v>
                </c:pt>
                <c:pt idx="2">
                  <c:v>1.7154950312980635</c:v>
                </c:pt>
                <c:pt idx="3">
                  <c:v>1.39344366140541</c:v>
                </c:pt>
                <c:pt idx="4">
                  <c:v>1.464137864552578</c:v>
                </c:pt>
                <c:pt idx="5">
                  <c:v>0.45674546970543584</c:v>
                </c:pt>
                <c:pt idx="6">
                  <c:v>1.523049700508551</c:v>
                </c:pt>
                <c:pt idx="7">
                  <c:v>1.428790762978994</c:v>
                </c:pt>
                <c:pt idx="8">
                  <c:v>1.5348320676997456</c:v>
                </c:pt>
                <c:pt idx="9">
                  <c:v>0.89858423937523502</c:v>
                </c:pt>
                <c:pt idx="10">
                  <c:v>1.5603605299473342</c:v>
                </c:pt>
                <c:pt idx="11">
                  <c:v>1.5112673333173565</c:v>
                </c:pt>
                <c:pt idx="12">
                  <c:v>1.2618738944370698</c:v>
                </c:pt>
                <c:pt idx="13">
                  <c:v>1.2422366157850786</c:v>
                </c:pt>
                <c:pt idx="14">
                  <c:v>0.70024772499012511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  <c:pt idx="0">
                  <c:v>103.635416666667</c:v>
                </c:pt>
                <c:pt idx="1">
                  <c:v>159.68085106383</c:v>
                </c:pt>
                <c:pt idx="2">
                  <c:v>98.231578947368405</c:v>
                </c:pt>
                <c:pt idx="3">
                  <c:v>28.2708333333333</c:v>
                </c:pt>
                <c:pt idx="4">
                  <c:v>58</c:v>
                </c:pt>
                <c:pt idx="5">
                  <c:v>122.67368421052601</c:v>
                </c:pt>
                <c:pt idx="6">
                  <c:v>73.2916666666667</c:v>
                </c:pt>
                <c:pt idx="7">
                  <c:v>95.4791666666667</c:v>
                </c:pt>
                <c:pt idx="8">
                  <c:v>62.8333333333333</c:v>
                </c:pt>
                <c:pt idx="9">
                  <c:v>92.2659574468085</c:v>
                </c:pt>
                <c:pt idx="10">
                  <c:v>31.8645833333333</c:v>
                </c:pt>
                <c:pt idx="11">
                  <c:v>48.6979166666667</c:v>
                </c:pt>
                <c:pt idx="12">
                  <c:v>83.1354166666667</c:v>
                </c:pt>
                <c:pt idx="13">
                  <c:v>15.0416666666667</c:v>
                </c:pt>
                <c:pt idx="14">
                  <c:v>66.8125</c:v>
                </c:pt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0.85341849847565543</c:v>
                </c:pt>
                <c:pt idx="1">
                  <c:v>1.3364955533146361</c:v>
                </c:pt>
                <c:pt idx="2">
                  <c:v>1.5132310611825557</c:v>
                </c:pt>
                <c:pt idx="3">
                  <c:v>0.98498826544399565</c:v>
                </c:pt>
                <c:pt idx="4">
                  <c:v>0.9162577901620268</c:v>
                </c:pt>
                <c:pt idx="5">
                  <c:v>0.89662051151003586</c:v>
                </c:pt>
                <c:pt idx="6">
                  <c:v>0.70810263645092153</c:v>
                </c:pt>
                <c:pt idx="7">
                  <c:v>1.1931434191551009</c:v>
                </c:pt>
                <c:pt idx="8">
                  <c:v>2.3458516760269772</c:v>
                </c:pt>
                <c:pt idx="9">
                  <c:v>0.10131072610439729</c:v>
                </c:pt>
                <c:pt idx="10">
                  <c:v>0.15629510632997223</c:v>
                </c:pt>
                <c:pt idx="11">
                  <c:v>0.6472270726297491</c:v>
                </c:pt>
                <c:pt idx="12">
                  <c:v>0.58438778094337773</c:v>
                </c:pt>
                <c:pt idx="13">
                  <c:v>4.0435162283225079E-2</c:v>
                </c:pt>
                <c:pt idx="14">
                  <c:v>0.18771475217315814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  <c:pt idx="3">
                  <c:v>49.947368421052602</c:v>
                </c:pt>
                <c:pt idx="4">
                  <c:v>25.9578947368421</c:v>
                </c:pt>
                <c:pt idx="6">
                  <c:v>53.894736842105303</c:v>
                </c:pt>
                <c:pt idx="7">
                  <c:v>152.270833333333</c:v>
                </c:pt>
                <c:pt idx="8">
                  <c:v>115.552083333333</c:v>
                </c:pt>
                <c:pt idx="9">
                  <c:v>64.966101694915295</c:v>
                </c:pt>
                <c:pt idx="10">
                  <c:v>56.21875</c:v>
                </c:pt>
                <c:pt idx="11">
                  <c:v>28.25</c:v>
                </c:pt>
                <c:pt idx="12">
                  <c:v>87.1770833333333</c:v>
                </c:pt>
                <c:pt idx="13">
                  <c:v>19.4375</c:v>
                </c:pt>
                <c:pt idx="14">
                  <c:v>36.7708333333333</c:v>
                </c:pt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0.35855907644548046</c:v>
                </c:pt>
                <c:pt idx="1">
                  <c:v>0.40568854521025899</c:v>
                </c:pt>
                <c:pt idx="2">
                  <c:v>1.5426869791605422</c:v>
                </c:pt>
                <c:pt idx="3">
                  <c:v>1.5780340807341262</c:v>
                </c:pt>
                <c:pt idx="4">
                  <c:v>0.24466286026393225</c:v>
                </c:pt>
                <c:pt idx="5">
                  <c:v>0.64526334476455016</c:v>
                </c:pt>
                <c:pt idx="6">
                  <c:v>0.24466286026393225</c:v>
                </c:pt>
                <c:pt idx="7">
                  <c:v>0.29768351262430803</c:v>
                </c:pt>
                <c:pt idx="8">
                  <c:v>1.4170083957877995</c:v>
                </c:pt>
                <c:pt idx="9">
                  <c:v>1.2127806978070921</c:v>
                </c:pt>
                <c:pt idx="10">
                  <c:v>0.2152069422859455</c:v>
                </c:pt>
                <c:pt idx="11">
                  <c:v>7.0517885748401232E-3</c:v>
                </c:pt>
                <c:pt idx="12">
                  <c:v>1.5721428971385287</c:v>
                </c:pt>
                <c:pt idx="13">
                  <c:v>2.4725339361632237E-2</c:v>
                </c:pt>
                <c:pt idx="14">
                  <c:v>0.82396258049766891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1478.2691921557964</c:v>
                  </c:pt>
                  <c:pt idx="1">
                    <c:v>1042.2628494875719</c:v>
                  </c:pt>
                  <c:pt idx="2">
                    <c:v>3126.8807164431041</c:v>
                  </c:pt>
                  <c:pt idx="3">
                    <c:v>2929.9492772650692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1478.2691921557964</c:v>
                  </c:pt>
                  <c:pt idx="1">
                    <c:v>1042.2628494875719</c:v>
                  </c:pt>
                  <c:pt idx="2">
                    <c:v>3126.8807164431041</c:v>
                  </c:pt>
                  <c:pt idx="3">
                    <c:v>2929.9492772650692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5047.4383594083265</c:v>
                </c:pt>
                <c:pt idx="1">
                  <c:v>10285.489040266357</c:v>
                </c:pt>
                <c:pt idx="2">
                  <c:v>17888.369337914435</c:v>
                </c:pt>
                <c:pt idx="3">
                  <c:v>14348.928295526199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2124.5966138590247</c:v>
                  </c:pt>
                  <c:pt idx="1">
                    <c:v>4887.06628039526</c:v>
                  </c:pt>
                  <c:pt idx="2">
                    <c:v>4675.8439429360524</c:v>
                  </c:pt>
                  <c:pt idx="3">
                    <c:v>2279.6713273955779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2124.5966138590247</c:v>
                  </c:pt>
                  <c:pt idx="1">
                    <c:v>4887.06628039526</c:v>
                  </c:pt>
                  <c:pt idx="2">
                    <c:v>4675.8439429360524</c:v>
                  </c:pt>
                  <c:pt idx="3">
                    <c:v>2279.6713273955779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14060.650083954632</c:v>
                </c:pt>
                <c:pt idx="1">
                  <c:v>24773.907849096206</c:v>
                </c:pt>
                <c:pt idx="2">
                  <c:v>19954.528630255481</c:v>
                </c:pt>
                <c:pt idx="3">
                  <c:v>25164.291166754927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3527.8300741039811</c:v>
                  </c:pt>
                  <c:pt idx="1">
                    <c:v>3289.1913490649017</c:v>
                  </c:pt>
                  <c:pt idx="2">
                    <c:v>3665.3423050967954</c:v>
                  </c:pt>
                  <c:pt idx="3">
                    <c:v>2942.2255736581665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3527.8300741039811</c:v>
                  </c:pt>
                  <c:pt idx="1">
                    <c:v>3289.1913490649017</c:v>
                  </c:pt>
                  <c:pt idx="2">
                    <c:v>3665.3423050967954</c:v>
                  </c:pt>
                  <c:pt idx="3">
                    <c:v>2942.2255736581665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9115.7754894156606</c:v>
                </c:pt>
                <c:pt idx="1">
                  <c:v>25344.00687518419</c:v>
                </c:pt>
                <c:pt idx="2">
                  <c:v>19026.47049948759</c:v>
                </c:pt>
                <c:pt idx="3">
                  <c:v>25875.598781792349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2488.3109876116437</c:v>
                </c:pt>
                <c:pt idx="1">
                  <c:v>10128.194030013494</c:v>
                </c:pt>
                <c:pt idx="2">
                  <c:v>16927.063627949377</c:v>
                </c:pt>
                <c:pt idx="3">
                  <c:v>13630.200124508421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10128.880168528787</c:v>
                </c:pt>
                <c:pt idx="1">
                  <c:v>10048.698149881702</c:v>
                </c:pt>
                <c:pt idx="2">
                  <c:v>22393.695904544587</c:v>
                </c:pt>
                <c:pt idx="3">
                  <c:v>17063.258916980521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6198.3004148640539</c:v>
                </c:pt>
                <c:pt idx="1">
                  <c:v>10076.118040455514</c:v>
                </c:pt>
                <c:pt idx="2">
                  <c:v>14669.077961758654</c:v>
                </c:pt>
                <c:pt idx="3">
                  <c:v>9704.5451781310312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4488.5073598459148</c:v>
                </c:pt>
                <c:pt idx="1">
                  <c:v>7314.6413667381494</c:v>
                </c:pt>
                <c:pt idx="2">
                  <c:v>8673.1315019256817</c:v>
                </c:pt>
                <c:pt idx="3">
                  <c:v>5416.301295222871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1933.1928661912314</c:v>
                </c:pt>
                <c:pt idx="1">
                  <c:v>13859.793614242924</c:v>
                </c:pt>
                <c:pt idx="2">
                  <c:v>26778.877693393886</c:v>
                </c:pt>
                <c:pt idx="3">
                  <c:v>23292.607897184302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17353.258246098863</c:v>
                </c:pt>
                <c:pt idx="1">
                  <c:v>15938.472690109767</c:v>
                </c:pt>
                <c:pt idx="2">
                  <c:v>18081.74497405659</c:v>
                </c:pt>
                <c:pt idx="3">
                  <c:v>22254.384135901921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13254.080792956429</c:v>
                </c:pt>
                <c:pt idx="1">
                  <c:v>32293.962891685947</c:v>
                </c:pt>
                <c:pt idx="2">
                  <c:v>38047.631918015708</c:v>
                </c:pt>
                <c:pt idx="3">
                  <c:v>20643.080814121193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9704.5451781310312</c:v>
                </c:pt>
                <c:pt idx="1">
                  <c:v>12551.474953295219</c:v>
                </c:pt>
                <c:pt idx="2">
                  <c:v>15794.531089616235</c:v>
                </c:pt>
                <c:pt idx="3">
                  <c:v>21753.188806772243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9607.6329222278491</c:v>
                </c:pt>
                <c:pt idx="1">
                  <c:v>24400.40097390992</c:v>
                </c:pt>
                <c:pt idx="2">
                  <c:v>16785.430530871789</c:v>
                </c:pt>
                <c:pt idx="3">
                  <c:v>29066.085165324752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20383.733280358982</c:v>
                </c:pt>
                <c:pt idx="1">
                  <c:v>38685.22773648017</c:v>
                </c:pt>
                <c:pt idx="2">
                  <c:v>11063.304638717091</c:v>
                </c:pt>
                <c:pt idx="3">
                  <c:v>32104.716911654534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2092.0307262270831</c:v>
                </c:pt>
                <c:pt idx="1">
                  <c:v>21675.398654164455</c:v>
                </c:pt>
                <c:pt idx="2">
                  <c:v>22842.937081796572</c:v>
                </c:pt>
                <c:pt idx="3">
                  <c:v>21709.372129435749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5299.4140722622942</c:v>
                </c:pt>
                <c:pt idx="1">
                  <c:v>16266.126274945935</c:v>
                </c:pt>
                <c:pt idx="2">
                  <c:v>24481.891144492707</c:v>
                </c:pt>
                <c:pt idx="3">
                  <c:v>21860.053277401934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9047.4745683492947</c:v>
                </c:pt>
                <c:pt idx="1">
                  <c:v>28082.104821807541</c:v>
                </c:pt>
                <c:pt idx="2">
                  <c:v>4957.377228642903</c:v>
                </c:pt>
                <c:pt idx="3">
                  <c:v>36086.462078529847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6648.0866554225795</c:v>
                </c:pt>
                <c:pt idx="1">
                  <c:v>24738.930174838977</c:v>
                </c:pt>
                <c:pt idx="2">
                  <c:v>24156.526825544017</c:v>
                </c:pt>
                <c:pt idx="3">
                  <c:v>20778.686152279373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22491.871424817051</c:v>
                </c:pt>
                <c:pt idx="1">
                  <c:v>35957.474450164038</c:v>
                </c:pt>
                <c:pt idx="2">
                  <c:v>18693.620216961757</c:v>
                </c:pt>
                <c:pt idx="3">
                  <c:v>28943.42027131483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  <c:pt idx="0">
                  <c:v>19.5336842105263</c:v>
                </c:pt>
                <c:pt idx="1">
                  <c:v>19.032631578947399</c:v>
                </c:pt>
                <c:pt idx="2">
                  <c:v>16.370833333333302</c:v>
                </c:pt>
                <c:pt idx="3">
                  <c:v>19.1458333333333</c:v>
                </c:pt>
                <c:pt idx="4">
                  <c:v>19.5136842105263</c:v>
                </c:pt>
                <c:pt idx="6">
                  <c:v>19.356989247311802</c:v>
                </c:pt>
                <c:pt idx="7">
                  <c:v>19.778723404255299</c:v>
                </c:pt>
                <c:pt idx="8">
                  <c:v>19.455208333333299</c:v>
                </c:pt>
                <c:pt idx="9">
                  <c:v>19.414583333333301</c:v>
                </c:pt>
                <c:pt idx="10">
                  <c:v>19.844791666666701</c:v>
                </c:pt>
                <c:pt idx="11">
                  <c:v>19.556249999999999</c:v>
                </c:pt>
                <c:pt idx="12">
                  <c:v>19.546875</c:v>
                </c:pt>
                <c:pt idx="13">
                  <c:v>19.345833333333299</c:v>
                </c:pt>
                <c:pt idx="14">
                  <c:v>19.568750000000001</c:v>
                </c:pt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2488.3109876116437</c:v>
                </c:pt>
                <c:pt idx="1">
                  <c:v>10128.880168528787</c:v>
                </c:pt>
                <c:pt idx="2">
                  <c:v>6198.3004148640539</c:v>
                </c:pt>
                <c:pt idx="3">
                  <c:v>4488.5073598459148</c:v>
                </c:pt>
                <c:pt idx="4">
                  <c:v>1933.1928661912314</c:v>
                </c:pt>
                <c:pt idx="5">
                  <c:v>17353.258246098863</c:v>
                </c:pt>
                <c:pt idx="6">
                  <c:v>13254.080792956429</c:v>
                </c:pt>
                <c:pt idx="7">
                  <c:v>9704.5451781310312</c:v>
                </c:pt>
                <c:pt idx="8">
                  <c:v>9607.6329222278491</c:v>
                </c:pt>
                <c:pt idx="9">
                  <c:v>20383.733280358982</c:v>
                </c:pt>
                <c:pt idx="10">
                  <c:v>2092.0307262270831</c:v>
                </c:pt>
                <c:pt idx="11">
                  <c:v>5299.4140722622942</c:v>
                </c:pt>
                <c:pt idx="12">
                  <c:v>9047.4745683492947</c:v>
                </c:pt>
                <c:pt idx="13">
                  <c:v>6648.0866554225795</c:v>
                </c:pt>
                <c:pt idx="14">
                  <c:v>22491.871424817051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  <c:pt idx="0">
                  <c:v>19.523958333333301</c:v>
                </c:pt>
                <c:pt idx="1">
                  <c:v>18.673404255319099</c:v>
                </c:pt>
                <c:pt idx="2">
                  <c:v>19.544210526315801</c:v>
                </c:pt>
                <c:pt idx="3">
                  <c:v>19.013541666666701</c:v>
                </c:pt>
                <c:pt idx="4">
                  <c:v>19.376842105263201</c:v>
                </c:pt>
                <c:pt idx="5">
                  <c:v>19.397894736842101</c:v>
                </c:pt>
                <c:pt idx="6">
                  <c:v>19.125</c:v>
                </c:pt>
                <c:pt idx="7">
                  <c:v>19.757291666666699</c:v>
                </c:pt>
                <c:pt idx="8">
                  <c:v>19.282291666666701</c:v>
                </c:pt>
                <c:pt idx="9">
                  <c:v>19.205319148936201</c:v>
                </c:pt>
                <c:pt idx="10">
                  <c:v>19.582291666666698</c:v>
                </c:pt>
                <c:pt idx="11">
                  <c:v>19.268750000000001</c:v>
                </c:pt>
                <c:pt idx="12">
                  <c:v>19.469791666666701</c:v>
                </c:pt>
                <c:pt idx="13">
                  <c:v>19.127083333333299</c:v>
                </c:pt>
                <c:pt idx="14">
                  <c:v>19.379166666666698</c:v>
                </c:pt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10128.194030013494</c:v>
                </c:pt>
                <c:pt idx="1">
                  <c:v>10048.698149881702</c:v>
                </c:pt>
                <c:pt idx="2">
                  <c:v>10076.118040455514</c:v>
                </c:pt>
                <c:pt idx="3">
                  <c:v>7314.6413667381494</c:v>
                </c:pt>
                <c:pt idx="4">
                  <c:v>13859.793614242924</c:v>
                </c:pt>
                <c:pt idx="5">
                  <c:v>15938.472690109767</c:v>
                </c:pt>
                <c:pt idx="6">
                  <c:v>32293.962891685947</c:v>
                </c:pt>
                <c:pt idx="7">
                  <c:v>12551.474953295219</c:v>
                </c:pt>
                <c:pt idx="8">
                  <c:v>24400.40097390992</c:v>
                </c:pt>
                <c:pt idx="9">
                  <c:v>38685.22773648017</c:v>
                </c:pt>
                <c:pt idx="10">
                  <c:v>21675.398654164455</c:v>
                </c:pt>
                <c:pt idx="11">
                  <c:v>16266.126274945935</c:v>
                </c:pt>
                <c:pt idx="12">
                  <c:v>28082.104821807541</c:v>
                </c:pt>
                <c:pt idx="13">
                  <c:v>24738.930174838977</c:v>
                </c:pt>
                <c:pt idx="14">
                  <c:v>35957.474450164038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  <c:pt idx="3">
                  <c:v>18.566666666666698</c:v>
                </c:pt>
                <c:pt idx="4">
                  <c:v>18.9389473684211</c:v>
                </c:pt>
                <c:pt idx="6">
                  <c:v>18.553684210526299</c:v>
                </c:pt>
                <c:pt idx="7">
                  <c:v>17.181249999999999</c:v>
                </c:pt>
                <c:pt idx="8">
                  <c:v>18.655208333333299</c:v>
                </c:pt>
                <c:pt idx="9">
                  <c:v>18.7406779661017</c:v>
                </c:pt>
                <c:pt idx="10">
                  <c:v>19.303125000000001</c:v>
                </c:pt>
                <c:pt idx="11">
                  <c:v>18.929166666666699</c:v>
                </c:pt>
                <c:pt idx="12">
                  <c:v>18.9895833333333</c:v>
                </c:pt>
                <c:pt idx="13">
                  <c:v>18.685416666666701</c:v>
                </c:pt>
                <c:pt idx="14">
                  <c:v>18.985416666666701</c:v>
                </c:pt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16927.063627949377</c:v>
                </c:pt>
                <c:pt idx="1">
                  <c:v>22393.695904544587</c:v>
                </c:pt>
                <c:pt idx="2">
                  <c:v>14669.077961758654</c:v>
                </c:pt>
                <c:pt idx="3">
                  <c:v>8673.1315019256817</c:v>
                </c:pt>
                <c:pt idx="4">
                  <c:v>26778.877693393886</c:v>
                </c:pt>
                <c:pt idx="5">
                  <c:v>18081.74497405659</c:v>
                </c:pt>
                <c:pt idx="6">
                  <c:v>38047.631918015708</c:v>
                </c:pt>
                <c:pt idx="7">
                  <c:v>15794.531089616235</c:v>
                </c:pt>
                <c:pt idx="8">
                  <c:v>16785.430530871789</c:v>
                </c:pt>
                <c:pt idx="9">
                  <c:v>11063.304638717091</c:v>
                </c:pt>
                <c:pt idx="10">
                  <c:v>22842.937081796572</c:v>
                </c:pt>
                <c:pt idx="11">
                  <c:v>24481.891144492707</c:v>
                </c:pt>
                <c:pt idx="12">
                  <c:v>4957.377228642903</c:v>
                </c:pt>
                <c:pt idx="13">
                  <c:v>24156.526825544017</c:v>
                </c:pt>
                <c:pt idx="14">
                  <c:v>18693.620216961757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  <c:pt idx="0">
                  <c:v>0.324277786189474</c:v>
                </c:pt>
                <c:pt idx="1">
                  <c:v>0.31103275694736798</c:v>
                </c:pt>
                <c:pt idx="2">
                  <c:v>0.38001009193750002</c:v>
                </c:pt>
                <c:pt idx="3">
                  <c:v>0.327429358</c:v>
                </c:pt>
                <c:pt idx="4">
                  <c:v>0.32397399924210502</c:v>
                </c:pt>
                <c:pt idx="6">
                  <c:v>0.331728457870968</c:v>
                </c:pt>
                <c:pt idx="7">
                  <c:v>0.37211204043617002</c:v>
                </c:pt>
                <c:pt idx="8">
                  <c:v>0.3806026091875</c:v>
                </c:pt>
                <c:pt idx="9">
                  <c:v>0.37718298784374998</c:v>
                </c:pt>
                <c:pt idx="10">
                  <c:v>0.35156591021875</c:v>
                </c:pt>
                <c:pt idx="11">
                  <c:v>0.35259226937499999</c:v>
                </c:pt>
                <c:pt idx="12">
                  <c:v>0.37537618196875</c:v>
                </c:pt>
                <c:pt idx="13">
                  <c:v>0.32291767693750001</c:v>
                </c:pt>
                <c:pt idx="14">
                  <c:v>0.36373623231250002</c:v>
                </c:pt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2488.3109876116437</c:v>
                </c:pt>
                <c:pt idx="1">
                  <c:v>10128.880168528787</c:v>
                </c:pt>
                <c:pt idx="2">
                  <c:v>6198.3004148640539</c:v>
                </c:pt>
                <c:pt idx="3">
                  <c:v>4488.5073598459148</c:v>
                </c:pt>
                <c:pt idx="4">
                  <c:v>1933.1928661912314</c:v>
                </c:pt>
                <c:pt idx="5">
                  <c:v>17353.258246098863</c:v>
                </c:pt>
                <c:pt idx="6">
                  <c:v>13254.080792956429</c:v>
                </c:pt>
                <c:pt idx="7">
                  <c:v>9704.5451781310312</c:v>
                </c:pt>
                <c:pt idx="8">
                  <c:v>9607.6329222278491</c:v>
                </c:pt>
                <c:pt idx="9">
                  <c:v>20383.733280358982</c:v>
                </c:pt>
                <c:pt idx="10">
                  <c:v>2092.0307262270831</c:v>
                </c:pt>
                <c:pt idx="11">
                  <c:v>5299.4140722622942</c:v>
                </c:pt>
                <c:pt idx="12">
                  <c:v>9047.4745683492947</c:v>
                </c:pt>
                <c:pt idx="13">
                  <c:v>6648.0866554225795</c:v>
                </c:pt>
                <c:pt idx="14">
                  <c:v>22491.871424817051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  <c:pt idx="0">
                  <c:v>0.34713395068750003</c:v>
                </c:pt>
                <c:pt idx="1">
                  <c:v>0.39067664557446802</c:v>
                </c:pt>
                <c:pt idx="2">
                  <c:v>0.38827152744210502</c:v>
                </c:pt>
                <c:pt idx="3">
                  <c:v>0.30846674528125001</c:v>
                </c:pt>
                <c:pt idx="4">
                  <c:v>0.336617416</c:v>
                </c:pt>
                <c:pt idx="5">
                  <c:v>0.35260824643157901</c:v>
                </c:pt>
                <c:pt idx="6">
                  <c:v>0.32396545140624999</c:v>
                </c:pt>
                <c:pt idx="7">
                  <c:v>0.31386526271874998</c:v>
                </c:pt>
                <c:pt idx="8">
                  <c:v>0.30183135212500001</c:v>
                </c:pt>
                <c:pt idx="9">
                  <c:v>0.36448704061702097</c:v>
                </c:pt>
                <c:pt idx="10">
                  <c:v>0.26279301531249999</c:v>
                </c:pt>
                <c:pt idx="11">
                  <c:v>0.28644028825000001</c:v>
                </c:pt>
                <c:pt idx="12">
                  <c:v>0.35986123253125002</c:v>
                </c:pt>
                <c:pt idx="13">
                  <c:v>0.31012105796875</c:v>
                </c:pt>
                <c:pt idx="14">
                  <c:v>0.31094736578124998</c:v>
                </c:pt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10128.194030013494</c:v>
                </c:pt>
                <c:pt idx="1">
                  <c:v>10048.698149881702</c:v>
                </c:pt>
                <c:pt idx="2">
                  <c:v>10076.118040455514</c:v>
                </c:pt>
                <c:pt idx="3">
                  <c:v>7314.6413667381494</c:v>
                </c:pt>
                <c:pt idx="4">
                  <c:v>13859.793614242924</c:v>
                </c:pt>
                <c:pt idx="5">
                  <c:v>15938.472690109767</c:v>
                </c:pt>
                <c:pt idx="6">
                  <c:v>32293.962891685947</c:v>
                </c:pt>
                <c:pt idx="7">
                  <c:v>12551.474953295219</c:v>
                </c:pt>
                <c:pt idx="8">
                  <c:v>24400.40097390992</c:v>
                </c:pt>
                <c:pt idx="9">
                  <c:v>38685.22773648017</c:v>
                </c:pt>
                <c:pt idx="10">
                  <c:v>21675.398654164455</c:v>
                </c:pt>
                <c:pt idx="11">
                  <c:v>16266.126274945935</c:v>
                </c:pt>
                <c:pt idx="12">
                  <c:v>28082.104821807541</c:v>
                </c:pt>
                <c:pt idx="13">
                  <c:v>24738.930174838977</c:v>
                </c:pt>
                <c:pt idx="14">
                  <c:v>35957.474450164038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  <c:pt idx="3">
                  <c:v>0.36569324310526302</c:v>
                </c:pt>
                <c:pt idx="4">
                  <c:v>0.285441687336842</c:v>
                </c:pt>
                <c:pt idx="6">
                  <c:v>0.24129584995789499</c:v>
                </c:pt>
                <c:pt idx="7">
                  <c:v>0.36608108781249998</c:v>
                </c:pt>
                <c:pt idx="8">
                  <c:v>0.37010575234374998</c:v>
                </c:pt>
                <c:pt idx="9">
                  <c:v>0.37600622840678</c:v>
                </c:pt>
                <c:pt idx="10">
                  <c:v>0.26307408118749998</c:v>
                </c:pt>
                <c:pt idx="11">
                  <c:v>0.27666900643749998</c:v>
                </c:pt>
                <c:pt idx="12">
                  <c:v>0.34575306709374998</c:v>
                </c:pt>
                <c:pt idx="13">
                  <c:v>0.28754042921875</c:v>
                </c:pt>
                <c:pt idx="14">
                  <c:v>0.31653700478125002</c:v>
                </c:pt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16927.063627949377</c:v>
                </c:pt>
                <c:pt idx="1">
                  <c:v>22393.695904544587</c:v>
                </c:pt>
                <c:pt idx="2">
                  <c:v>14669.077961758654</c:v>
                </c:pt>
                <c:pt idx="3">
                  <c:v>8673.1315019256817</c:v>
                </c:pt>
                <c:pt idx="4">
                  <c:v>26778.877693393886</c:v>
                </c:pt>
                <c:pt idx="5">
                  <c:v>18081.74497405659</c:v>
                </c:pt>
                <c:pt idx="6">
                  <c:v>38047.631918015708</c:v>
                </c:pt>
                <c:pt idx="7">
                  <c:v>15794.531089616235</c:v>
                </c:pt>
                <c:pt idx="8">
                  <c:v>16785.430530871789</c:v>
                </c:pt>
                <c:pt idx="9">
                  <c:v>11063.304638717091</c:v>
                </c:pt>
                <c:pt idx="10">
                  <c:v>22842.937081796572</c:v>
                </c:pt>
                <c:pt idx="11">
                  <c:v>24481.891144492707</c:v>
                </c:pt>
                <c:pt idx="12">
                  <c:v>4957.377228642903</c:v>
                </c:pt>
                <c:pt idx="13">
                  <c:v>24156.526825544017</c:v>
                </c:pt>
                <c:pt idx="14">
                  <c:v>18693.620216961757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  <c:pt idx="0">
                  <c:v>49.294736842105301</c:v>
                </c:pt>
                <c:pt idx="1">
                  <c:v>103</c:v>
                </c:pt>
                <c:pt idx="2">
                  <c:v>171.40625</c:v>
                </c:pt>
                <c:pt idx="3">
                  <c:v>38.40625</c:v>
                </c:pt>
                <c:pt idx="4">
                  <c:v>45.315789473684198</c:v>
                </c:pt>
                <c:pt idx="6">
                  <c:v>85.075268817204304</c:v>
                </c:pt>
                <c:pt idx="7">
                  <c:v>86.2340425531915</c:v>
                </c:pt>
                <c:pt idx="8">
                  <c:v>58.5104166666667</c:v>
                </c:pt>
                <c:pt idx="9">
                  <c:v>106.260416666667</c:v>
                </c:pt>
                <c:pt idx="10">
                  <c:v>49.25</c:v>
                </c:pt>
                <c:pt idx="11">
                  <c:v>65.6875</c:v>
                </c:pt>
                <c:pt idx="12">
                  <c:v>132.822916666667</c:v>
                </c:pt>
                <c:pt idx="13">
                  <c:v>45.0416666666667</c:v>
                </c:pt>
                <c:pt idx="14">
                  <c:v>89.1979166666667</c:v>
                </c:pt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2488.3109876116437</c:v>
                </c:pt>
                <c:pt idx="1">
                  <c:v>10128.880168528787</c:v>
                </c:pt>
                <c:pt idx="2">
                  <c:v>6198.3004148640539</c:v>
                </c:pt>
                <c:pt idx="3">
                  <c:v>4488.5073598459148</c:v>
                </c:pt>
                <c:pt idx="4">
                  <c:v>1933.1928661912314</c:v>
                </c:pt>
                <c:pt idx="5">
                  <c:v>17353.258246098863</c:v>
                </c:pt>
                <c:pt idx="6">
                  <c:v>13254.080792956429</c:v>
                </c:pt>
                <c:pt idx="7">
                  <c:v>9704.5451781310312</c:v>
                </c:pt>
                <c:pt idx="8">
                  <c:v>9607.6329222278491</c:v>
                </c:pt>
                <c:pt idx="9">
                  <c:v>20383.733280358982</c:v>
                </c:pt>
                <c:pt idx="10">
                  <c:v>2092.0307262270831</c:v>
                </c:pt>
                <c:pt idx="11">
                  <c:v>5299.4140722622942</c:v>
                </c:pt>
                <c:pt idx="12">
                  <c:v>9047.4745683492947</c:v>
                </c:pt>
                <c:pt idx="13">
                  <c:v>6648.0866554225795</c:v>
                </c:pt>
                <c:pt idx="14">
                  <c:v>22491.871424817051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  <c:pt idx="0">
                  <c:v>103.635416666667</c:v>
                </c:pt>
                <c:pt idx="1">
                  <c:v>159.68085106383</c:v>
                </c:pt>
                <c:pt idx="2">
                  <c:v>98.231578947368405</c:v>
                </c:pt>
                <c:pt idx="3">
                  <c:v>28.2708333333333</c:v>
                </c:pt>
                <c:pt idx="4">
                  <c:v>58</c:v>
                </c:pt>
                <c:pt idx="5">
                  <c:v>122.67368421052601</c:v>
                </c:pt>
                <c:pt idx="6">
                  <c:v>73.2916666666667</c:v>
                </c:pt>
                <c:pt idx="7">
                  <c:v>95.4791666666667</c:v>
                </c:pt>
                <c:pt idx="8">
                  <c:v>62.8333333333333</c:v>
                </c:pt>
                <c:pt idx="9">
                  <c:v>92.2659574468085</c:v>
                </c:pt>
                <c:pt idx="10">
                  <c:v>31.8645833333333</c:v>
                </c:pt>
                <c:pt idx="11">
                  <c:v>48.6979166666667</c:v>
                </c:pt>
                <c:pt idx="12">
                  <c:v>83.1354166666667</c:v>
                </c:pt>
                <c:pt idx="13">
                  <c:v>15.0416666666667</c:v>
                </c:pt>
                <c:pt idx="14">
                  <c:v>66.8125</c:v>
                </c:pt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10128.194030013494</c:v>
                </c:pt>
                <c:pt idx="1">
                  <c:v>10048.698149881702</c:v>
                </c:pt>
                <c:pt idx="2">
                  <c:v>10076.118040455514</c:v>
                </c:pt>
                <c:pt idx="3">
                  <c:v>7314.6413667381494</c:v>
                </c:pt>
                <c:pt idx="4">
                  <c:v>13859.793614242924</c:v>
                </c:pt>
                <c:pt idx="5">
                  <c:v>15938.472690109767</c:v>
                </c:pt>
                <c:pt idx="6">
                  <c:v>32293.962891685947</c:v>
                </c:pt>
                <c:pt idx="7">
                  <c:v>12551.474953295219</c:v>
                </c:pt>
                <c:pt idx="8">
                  <c:v>24400.40097390992</c:v>
                </c:pt>
                <c:pt idx="9">
                  <c:v>38685.22773648017</c:v>
                </c:pt>
                <c:pt idx="10">
                  <c:v>21675.398654164455</c:v>
                </c:pt>
                <c:pt idx="11">
                  <c:v>16266.126274945935</c:v>
                </c:pt>
                <c:pt idx="12">
                  <c:v>28082.104821807541</c:v>
                </c:pt>
                <c:pt idx="13">
                  <c:v>24738.930174838977</c:v>
                </c:pt>
                <c:pt idx="14">
                  <c:v>35957.474450164038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  <c:pt idx="3">
                  <c:v>49.947368421052602</c:v>
                </c:pt>
                <c:pt idx="4">
                  <c:v>25.9578947368421</c:v>
                </c:pt>
                <c:pt idx="6">
                  <c:v>53.894736842105303</c:v>
                </c:pt>
                <c:pt idx="7">
                  <c:v>152.270833333333</c:v>
                </c:pt>
                <c:pt idx="8">
                  <c:v>115.552083333333</c:v>
                </c:pt>
                <c:pt idx="9">
                  <c:v>64.966101694915295</c:v>
                </c:pt>
                <c:pt idx="10">
                  <c:v>56.21875</c:v>
                </c:pt>
                <c:pt idx="11">
                  <c:v>28.25</c:v>
                </c:pt>
                <c:pt idx="12">
                  <c:v>87.1770833333333</c:v>
                </c:pt>
                <c:pt idx="13">
                  <c:v>19.4375</c:v>
                </c:pt>
                <c:pt idx="14">
                  <c:v>36.7708333333333</c:v>
                </c:pt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16927.063627949377</c:v>
                </c:pt>
                <c:pt idx="1">
                  <c:v>22393.695904544587</c:v>
                </c:pt>
                <c:pt idx="2">
                  <c:v>14669.077961758654</c:v>
                </c:pt>
                <c:pt idx="3">
                  <c:v>8673.1315019256817</c:v>
                </c:pt>
                <c:pt idx="4">
                  <c:v>26778.877693393886</c:v>
                </c:pt>
                <c:pt idx="5">
                  <c:v>18081.74497405659</c:v>
                </c:pt>
                <c:pt idx="6">
                  <c:v>38047.631918015708</c:v>
                </c:pt>
                <c:pt idx="7">
                  <c:v>15794.531089616235</c:v>
                </c:pt>
                <c:pt idx="8">
                  <c:v>16785.430530871789</c:v>
                </c:pt>
                <c:pt idx="9">
                  <c:v>11063.304638717091</c:v>
                </c:pt>
                <c:pt idx="10">
                  <c:v>22842.937081796572</c:v>
                </c:pt>
                <c:pt idx="11">
                  <c:v>24481.891144492707</c:v>
                </c:pt>
                <c:pt idx="12">
                  <c:v>4957.377228642903</c:v>
                </c:pt>
                <c:pt idx="13">
                  <c:v>24156.526825544017</c:v>
                </c:pt>
                <c:pt idx="14">
                  <c:v>18693.620216961757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9</xdr:row>
      <xdr:rowOff>11642</xdr:rowOff>
    </xdr:from>
    <xdr:to>
      <xdr:col>24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24</xdr:row>
      <xdr:rowOff>21167</xdr:rowOff>
    </xdr:from>
    <xdr:to>
      <xdr:col>24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6"/>
  <sheetViews>
    <sheetView tabSelected="1" zoomScale="90" zoomScaleNormal="90" workbookViewId="0">
      <selection activeCell="N47" sqref="N47"/>
    </sheetView>
  </sheetViews>
  <sheetFormatPr defaultRowHeight="16.5" x14ac:dyDescent="0.3"/>
  <cols>
    <col min="1" max="1" width="13.85546875" style="2" customWidth="1"/>
    <col min="2" max="2" width="12.42578125" style="2" bestFit="1" customWidth="1"/>
    <col min="3" max="3" width="14.5703125" style="13" customWidth="1"/>
    <col min="4" max="4" width="11.42578125" style="13" customWidth="1"/>
    <col min="5" max="5" width="8.7109375" style="13"/>
    <col min="6" max="6" width="9.28515625" style="13" customWidth="1"/>
    <col min="7" max="7" width="10.5703125" style="13" customWidth="1"/>
    <col min="8" max="10" width="8.7109375" style="13"/>
    <col min="12" max="12" width="9.5703125" customWidth="1"/>
    <col min="14" max="14" width="9.42578125" customWidth="1"/>
    <col min="16" max="16" width="13.5703125" customWidth="1"/>
    <col min="17" max="17" width="11.5703125" customWidth="1"/>
  </cols>
  <sheetData>
    <row r="2" spans="1:28" x14ac:dyDescent="0.3">
      <c r="A2" s="3" t="s">
        <v>10</v>
      </c>
    </row>
    <row r="3" spans="1:28" x14ac:dyDescent="0.3">
      <c r="A3" s="3" t="s">
        <v>11</v>
      </c>
    </row>
    <row r="4" spans="1:28" x14ac:dyDescent="0.3">
      <c r="A4" s="3" t="s">
        <v>47</v>
      </c>
      <c r="B4" s="4"/>
    </row>
    <row r="5" spans="1:28" ht="17.25" thickBot="1" x14ac:dyDescent="0.35">
      <c r="B5" s="4"/>
    </row>
    <row r="6" spans="1:28" ht="50.25" thickBot="1" x14ac:dyDescent="0.3">
      <c r="A6" s="22" t="s">
        <v>4</v>
      </c>
      <c r="B6" s="23" t="s">
        <v>3</v>
      </c>
      <c r="C6" s="23" t="s">
        <v>1</v>
      </c>
      <c r="D6" s="23" t="s">
        <v>5</v>
      </c>
      <c r="E6" s="23" t="s">
        <v>2</v>
      </c>
      <c r="F6" s="23" t="s">
        <v>35</v>
      </c>
      <c r="G6" s="24" t="s">
        <v>6</v>
      </c>
      <c r="H6" s="24" t="s">
        <v>7</v>
      </c>
      <c r="I6" s="24" t="s">
        <v>8</v>
      </c>
      <c r="J6" s="25" t="s">
        <v>9</v>
      </c>
      <c r="L6" s="75" t="s">
        <v>12</v>
      </c>
    </row>
    <row r="7" spans="1:28" ht="17.25" thickBot="1" x14ac:dyDescent="0.35">
      <c r="A7" s="80">
        <v>44376</v>
      </c>
      <c r="B7" s="18">
        <v>44377</v>
      </c>
      <c r="C7" s="19" t="s">
        <v>18</v>
      </c>
      <c r="D7" s="19" t="s">
        <v>19</v>
      </c>
      <c r="E7" s="19">
        <v>10</v>
      </c>
      <c r="F7" s="19">
        <v>1</v>
      </c>
      <c r="G7" s="19">
        <v>1058</v>
      </c>
      <c r="H7" s="19">
        <v>739348</v>
      </c>
      <c r="I7" s="19">
        <f>(G7*$AA$14)+$AA$15</f>
        <v>2.4924900529109006</v>
      </c>
      <c r="J7" s="20">
        <f t="shared" ref="J7:J38" si="0">(H7*$AA$29)+$AA$30</f>
        <v>7424.2798451053422</v>
      </c>
      <c r="L7" s="40" t="s">
        <v>13</v>
      </c>
      <c r="M7" s="41" t="s">
        <v>14</v>
      </c>
      <c r="N7" s="41" t="s">
        <v>0</v>
      </c>
      <c r="O7" s="42" t="s">
        <v>26</v>
      </c>
      <c r="P7" s="43" t="s">
        <v>27</v>
      </c>
    </row>
    <row r="8" spans="1:28" ht="17.25" thickBot="1" x14ac:dyDescent="0.35">
      <c r="A8" s="80">
        <v>44376</v>
      </c>
      <c r="B8" s="18">
        <v>44377</v>
      </c>
      <c r="C8" s="14" t="s">
        <v>18</v>
      </c>
      <c r="D8" s="14" t="s">
        <v>19</v>
      </c>
      <c r="E8" s="14">
        <v>20</v>
      </c>
      <c r="F8" s="14">
        <v>2</v>
      </c>
      <c r="G8" s="14">
        <v>756</v>
      </c>
      <c r="H8" s="14">
        <v>1135775</v>
      </c>
      <c r="I8" s="14">
        <f t="shared" ref="I8:I66" si="1">(G8*$AA$14)+$AA$15</f>
        <v>1.6394220705243927</v>
      </c>
      <c r="J8" s="15">
        <f t="shared" si="0"/>
        <v>11614.048262753769</v>
      </c>
      <c r="L8" s="44" t="s">
        <v>28</v>
      </c>
      <c r="M8" s="45">
        <v>10.199999999999999</v>
      </c>
      <c r="N8" s="19">
        <v>3032</v>
      </c>
      <c r="O8" s="46">
        <f>AVERAGE(M8:M10)</f>
        <v>10.199999999999999</v>
      </c>
      <c r="P8" s="47">
        <f>AVERAGE(N8:N10)</f>
        <v>3717</v>
      </c>
    </row>
    <row r="9" spans="1:28" ht="17.25" thickBot="1" x14ac:dyDescent="0.35">
      <c r="A9" s="80">
        <v>44376</v>
      </c>
      <c r="B9" s="18">
        <v>44377</v>
      </c>
      <c r="C9" s="14" t="s">
        <v>18</v>
      </c>
      <c r="D9" s="14" t="s">
        <v>19</v>
      </c>
      <c r="E9" s="14">
        <v>35</v>
      </c>
      <c r="F9" s="14">
        <v>3</v>
      </c>
      <c r="G9" s="14">
        <v>808</v>
      </c>
      <c r="H9" s="14">
        <v>1497395</v>
      </c>
      <c r="I9" s="14">
        <f t="shared" si="1"/>
        <v>1.786307948286308</v>
      </c>
      <c r="J9" s="15">
        <f t="shared" si="0"/>
        <v>15435.947515806725</v>
      </c>
      <c r="L9" s="10" t="s">
        <v>28</v>
      </c>
      <c r="M9" s="14">
        <v>10.199999999999999</v>
      </c>
      <c r="N9" s="14">
        <v>3804</v>
      </c>
      <c r="O9" s="48"/>
      <c r="P9" s="49"/>
      <c r="AB9" s="2"/>
    </row>
    <row r="10" spans="1:28" ht="17.25" thickBot="1" x14ac:dyDescent="0.35">
      <c r="A10" s="80">
        <v>44376</v>
      </c>
      <c r="B10" s="18">
        <v>44377</v>
      </c>
      <c r="C10" s="14" t="s">
        <v>18</v>
      </c>
      <c r="D10" s="14" t="s">
        <v>19</v>
      </c>
      <c r="E10" s="14">
        <v>50</v>
      </c>
      <c r="F10" s="14">
        <v>4</v>
      </c>
      <c r="G10" s="14">
        <v>729</v>
      </c>
      <c r="H10" s="14">
        <v>1985137</v>
      </c>
      <c r="I10" s="14">
        <f t="shared" si="1"/>
        <v>1.5631544032249365</v>
      </c>
      <c r="J10" s="15">
        <f t="shared" si="0"/>
        <v>20590.808379372218</v>
      </c>
      <c r="L10" s="7" t="s">
        <v>28</v>
      </c>
      <c r="M10" s="50">
        <v>10.199999999999999</v>
      </c>
      <c r="N10" s="50">
        <v>4315</v>
      </c>
      <c r="O10" s="50"/>
      <c r="P10" s="51"/>
      <c r="AB10" s="2"/>
    </row>
    <row r="11" spans="1:28" ht="17.25" thickBot="1" x14ac:dyDescent="0.35">
      <c r="A11" s="80">
        <v>44376</v>
      </c>
      <c r="B11" s="18">
        <v>44377</v>
      </c>
      <c r="C11" s="26" t="s">
        <v>18</v>
      </c>
      <c r="D11" s="26" t="s">
        <v>20</v>
      </c>
      <c r="E11" s="26">
        <v>10</v>
      </c>
      <c r="F11" s="26">
        <v>5</v>
      </c>
      <c r="G11" s="26">
        <v>1098</v>
      </c>
      <c r="H11" s="26">
        <v>1208637</v>
      </c>
      <c r="I11" s="26">
        <f t="shared" si="1"/>
        <v>2.6054791896508354</v>
      </c>
      <c r="J11" s="27">
        <f t="shared" si="0"/>
        <v>12384.114142339922</v>
      </c>
      <c r="L11" s="8" t="s">
        <v>29</v>
      </c>
      <c r="M11" s="52">
        <v>7.5</v>
      </c>
      <c r="N11" s="52">
        <v>2957</v>
      </c>
      <c r="O11" s="53">
        <f>AVERAGE(M11:M13)</f>
        <v>7.5</v>
      </c>
      <c r="P11" s="54">
        <f>AVERAGE(N11:N13)</f>
        <v>2935</v>
      </c>
      <c r="AB11" s="2"/>
    </row>
    <row r="12" spans="1:28" ht="17.25" thickBot="1" x14ac:dyDescent="0.35">
      <c r="A12" s="80">
        <v>44376</v>
      </c>
      <c r="B12" s="18">
        <v>44377</v>
      </c>
      <c r="C12" s="28" t="s">
        <v>18</v>
      </c>
      <c r="D12" s="28" t="s">
        <v>20</v>
      </c>
      <c r="E12" s="28">
        <v>20</v>
      </c>
      <c r="F12" s="28">
        <v>6</v>
      </c>
      <c r="G12" s="28">
        <v>878</v>
      </c>
      <c r="H12" s="28">
        <v>3049256</v>
      </c>
      <c r="I12" s="28">
        <f t="shared" si="1"/>
        <v>1.984038937581194</v>
      </c>
      <c r="J12" s="29">
        <f t="shared" si="0"/>
        <v>31837.298095813392</v>
      </c>
      <c r="L12" s="10" t="s">
        <v>29</v>
      </c>
      <c r="M12" s="14">
        <v>7.5</v>
      </c>
      <c r="N12" s="14">
        <v>2861</v>
      </c>
      <c r="O12" s="48"/>
      <c r="P12" s="49"/>
      <c r="AB12" s="2"/>
    </row>
    <row r="13" spans="1:28" ht="17.25" thickBot="1" x14ac:dyDescent="0.35">
      <c r="A13" s="80">
        <v>44376</v>
      </c>
      <c r="B13" s="18">
        <v>44377</v>
      </c>
      <c r="C13" s="28" t="s">
        <v>18</v>
      </c>
      <c r="D13" s="28" t="s">
        <v>20</v>
      </c>
      <c r="E13" s="28">
        <v>35</v>
      </c>
      <c r="F13" s="28">
        <v>7</v>
      </c>
      <c r="G13" s="28">
        <v>787</v>
      </c>
      <c r="H13" s="28">
        <v>2948655</v>
      </c>
      <c r="I13" s="28">
        <f t="shared" si="1"/>
        <v>1.7269886514978423</v>
      </c>
      <c r="J13" s="29">
        <f t="shared" si="0"/>
        <v>30774.063521518885</v>
      </c>
      <c r="L13" s="55" t="s">
        <v>29</v>
      </c>
      <c r="M13" s="30">
        <v>7.5</v>
      </c>
      <c r="N13" s="30">
        <v>2987</v>
      </c>
      <c r="O13" s="56"/>
      <c r="P13" s="57"/>
      <c r="AB13" s="2"/>
    </row>
    <row r="14" spans="1:28" ht="17.25" thickBot="1" x14ac:dyDescent="0.35">
      <c r="A14" s="80">
        <v>44376</v>
      </c>
      <c r="B14" s="18">
        <v>44377</v>
      </c>
      <c r="C14" s="28" t="s">
        <v>18</v>
      </c>
      <c r="D14" s="28" t="s">
        <v>20</v>
      </c>
      <c r="E14" s="28">
        <v>50</v>
      </c>
      <c r="F14" s="28">
        <v>8</v>
      </c>
      <c r="G14" s="28">
        <v>747</v>
      </c>
      <c r="H14" s="28">
        <v>3093686</v>
      </c>
      <c r="I14" s="28">
        <f t="shared" si="1"/>
        <v>1.6139995147579071</v>
      </c>
      <c r="J14" s="29">
        <f t="shared" si="0"/>
        <v>32306.871083516347</v>
      </c>
      <c r="L14" s="17" t="s">
        <v>30</v>
      </c>
      <c r="M14" s="19">
        <v>5</v>
      </c>
      <c r="N14" s="19">
        <v>1911</v>
      </c>
      <c r="O14" s="46">
        <f>AVERAGE(M14:M16)</f>
        <v>5</v>
      </c>
      <c r="P14" s="47">
        <f>AVERAGE(N14:N16)</f>
        <v>1895</v>
      </c>
      <c r="Z14" s="3" t="s">
        <v>15</v>
      </c>
      <c r="AA14" s="2">
        <f>SLOPE(O8:O22,P8:P22)</f>
        <v>2.8247284184983708E-3</v>
      </c>
      <c r="AB14" s="2"/>
    </row>
    <row r="15" spans="1:28" ht="17.25" thickBot="1" x14ac:dyDescent="0.35">
      <c r="A15" s="80">
        <v>44376</v>
      </c>
      <c r="B15" s="18">
        <v>44377</v>
      </c>
      <c r="C15" s="19" t="s">
        <v>18</v>
      </c>
      <c r="D15" s="19" t="s">
        <v>21</v>
      </c>
      <c r="E15" s="19">
        <v>10</v>
      </c>
      <c r="F15" s="19">
        <v>9</v>
      </c>
      <c r="G15" s="19">
        <v>1067</v>
      </c>
      <c r="H15" s="19">
        <v>1262121</v>
      </c>
      <c r="I15" s="19">
        <f t="shared" si="1"/>
        <v>2.5179126086773858</v>
      </c>
      <c r="J15" s="20">
        <f t="shared" si="0"/>
        <v>12949.377290534945</v>
      </c>
      <c r="L15" s="10" t="s">
        <v>30</v>
      </c>
      <c r="M15" s="14">
        <v>5</v>
      </c>
      <c r="N15" s="14">
        <v>1823</v>
      </c>
      <c r="O15" s="48"/>
      <c r="P15" s="49"/>
      <c r="Z15" s="3" t="s">
        <v>16</v>
      </c>
      <c r="AA15" s="2">
        <f>INTERCEPT(O8:O22,P8:P22)</f>
        <v>-0.49607261386037571</v>
      </c>
      <c r="AB15" s="2"/>
    </row>
    <row r="16" spans="1:28" ht="17.25" thickBot="1" x14ac:dyDescent="0.35">
      <c r="A16" s="80">
        <v>44376</v>
      </c>
      <c r="B16" s="18">
        <v>44377</v>
      </c>
      <c r="C16" s="14" t="s">
        <v>18</v>
      </c>
      <c r="D16" s="14" t="s">
        <v>21</v>
      </c>
      <c r="E16" s="14">
        <v>20</v>
      </c>
      <c r="F16" s="14">
        <v>10</v>
      </c>
      <c r="G16" s="14">
        <v>782</v>
      </c>
      <c r="H16" s="14">
        <v>3733325</v>
      </c>
      <c r="I16" s="14">
        <f t="shared" si="1"/>
        <v>1.7128650094053501</v>
      </c>
      <c r="J16" s="15">
        <f t="shared" si="0"/>
        <v>39067.105075893815</v>
      </c>
      <c r="L16" s="12" t="s">
        <v>30</v>
      </c>
      <c r="M16" s="58">
        <v>5</v>
      </c>
      <c r="N16" s="58">
        <v>1951</v>
      </c>
      <c r="O16" s="50"/>
      <c r="P16" s="51"/>
      <c r="Z16" s="3" t="s">
        <v>17</v>
      </c>
      <c r="AA16" s="2">
        <f>RSQ(O8:O22,P8:P22)</f>
        <v>0.9960876056897574</v>
      </c>
      <c r="AB16" s="2"/>
    </row>
    <row r="17" spans="1:28" ht="17.25" thickBot="1" x14ac:dyDescent="0.35">
      <c r="A17" s="80">
        <v>44376</v>
      </c>
      <c r="B17" s="18">
        <v>44377</v>
      </c>
      <c r="C17" s="14" t="s">
        <v>18</v>
      </c>
      <c r="D17" s="14" t="s">
        <v>21</v>
      </c>
      <c r="E17" s="14">
        <v>35</v>
      </c>
      <c r="F17" s="14">
        <v>11</v>
      </c>
      <c r="G17" s="14">
        <v>1253</v>
      </c>
      <c r="H17" s="14">
        <v>1375213</v>
      </c>
      <c r="I17" s="14">
        <f t="shared" si="1"/>
        <v>3.0433120945180829</v>
      </c>
      <c r="J17" s="15">
        <f t="shared" si="0"/>
        <v>14144.627084037144</v>
      </c>
      <c r="L17" s="8" t="s">
        <v>31</v>
      </c>
      <c r="M17" s="52">
        <v>3</v>
      </c>
      <c r="N17" s="52">
        <v>1734</v>
      </c>
      <c r="O17" s="53">
        <f>AVERAGE(M17:M19)</f>
        <v>3</v>
      </c>
      <c r="P17" s="54">
        <f>AVERAGE(N17:N19)</f>
        <v>1297.6666666666667</v>
      </c>
      <c r="Z17" s="2"/>
      <c r="AA17" s="2"/>
      <c r="AB17" s="2"/>
    </row>
    <row r="18" spans="1:28" ht="17.25" thickBot="1" x14ac:dyDescent="0.35">
      <c r="A18" s="80">
        <v>44376</v>
      </c>
      <c r="B18" s="18">
        <v>44377</v>
      </c>
      <c r="C18" s="30" t="s">
        <v>18</v>
      </c>
      <c r="D18" s="30" t="s">
        <v>21</v>
      </c>
      <c r="E18" s="30">
        <v>50</v>
      </c>
      <c r="F18" s="30">
        <v>12</v>
      </c>
      <c r="G18" s="30">
        <v>1157</v>
      </c>
      <c r="H18" s="30">
        <v>2485021</v>
      </c>
      <c r="I18" s="30">
        <f t="shared" si="1"/>
        <v>2.7721381663422395</v>
      </c>
      <c r="J18" s="31">
        <f t="shared" si="0"/>
        <v>25873.995941490251</v>
      </c>
      <c r="L18" s="8" t="s">
        <v>31</v>
      </c>
      <c r="M18" s="52">
        <v>3</v>
      </c>
      <c r="N18" s="52">
        <v>963</v>
      </c>
      <c r="O18" s="53"/>
      <c r="P18" s="54"/>
      <c r="Z18" s="2"/>
      <c r="AA18" s="2"/>
      <c r="AB18" s="2"/>
    </row>
    <row r="19" spans="1:28" ht="17.25" thickBot="1" x14ac:dyDescent="0.35">
      <c r="A19" s="80">
        <v>44376</v>
      </c>
      <c r="B19" s="18">
        <v>44377</v>
      </c>
      <c r="C19" s="19" t="s">
        <v>18</v>
      </c>
      <c r="D19" s="19" t="s">
        <v>22</v>
      </c>
      <c r="E19" s="19">
        <v>10</v>
      </c>
      <c r="F19" s="19">
        <v>13</v>
      </c>
      <c r="G19" s="19">
        <v>896</v>
      </c>
      <c r="H19" s="19">
        <v>945777</v>
      </c>
      <c r="I19" s="19">
        <f t="shared" si="1"/>
        <v>2.0348840491141647</v>
      </c>
      <c r="J19" s="20">
        <f t="shared" si="0"/>
        <v>9605.9922529048799</v>
      </c>
      <c r="L19" s="10" t="s">
        <v>31</v>
      </c>
      <c r="M19" s="14">
        <v>3</v>
      </c>
      <c r="N19" s="14">
        <v>1196</v>
      </c>
      <c r="O19" s="48"/>
      <c r="P19" s="49"/>
      <c r="Z19" s="2"/>
      <c r="AA19" s="2"/>
      <c r="AB19" s="2"/>
    </row>
    <row r="20" spans="1:28" ht="17.25" thickBot="1" x14ac:dyDescent="0.35">
      <c r="A20" s="80">
        <v>44376</v>
      </c>
      <c r="B20" s="18">
        <v>44377</v>
      </c>
      <c r="C20" s="14" t="s">
        <v>18</v>
      </c>
      <c r="D20" s="14" t="s">
        <v>22</v>
      </c>
      <c r="E20" s="14">
        <v>20</v>
      </c>
      <c r="F20" s="14">
        <v>14</v>
      </c>
      <c r="G20" s="14">
        <v>646</v>
      </c>
      <c r="H20" s="14">
        <v>2015834</v>
      </c>
      <c r="I20" s="14">
        <f t="shared" si="1"/>
        <v>1.3287019444895718</v>
      </c>
      <c r="J20" s="15">
        <f t="shared" si="0"/>
        <v>20915.239664619068</v>
      </c>
      <c r="L20" s="17" t="s">
        <v>32</v>
      </c>
      <c r="M20" s="19">
        <v>1.5</v>
      </c>
      <c r="N20" s="19">
        <v>797</v>
      </c>
      <c r="O20" s="46">
        <f>AVERAGE(M20:M22)</f>
        <v>1.5</v>
      </c>
      <c r="P20" s="47">
        <f>AVERAGE(N20:N22)</f>
        <v>662.66666666666663</v>
      </c>
      <c r="Z20" s="2"/>
      <c r="AA20" s="2"/>
      <c r="AB20" s="2"/>
    </row>
    <row r="21" spans="1:28" ht="17.25" thickBot="1" x14ac:dyDescent="0.35">
      <c r="A21" s="80">
        <v>44376</v>
      </c>
      <c r="B21" s="18">
        <v>44377</v>
      </c>
      <c r="C21" s="14" t="s">
        <v>18</v>
      </c>
      <c r="D21" s="14" t="s">
        <v>22</v>
      </c>
      <c r="E21" s="14">
        <v>35</v>
      </c>
      <c r="F21" s="14">
        <v>15</v>
      </c>
      <c r="G21" s="14">
        <v>1647</v>
      </c>
      <c r="H21" s="14">
        <v>820709</v>
      </c>
      <c r="I21" s="14">
        <f t="shared" si="1"/>
        <v>4.1562550914064413</v>
      </c>
      <c r="J21" s="15">
        <f t="shared" si="0"/>
        <v>8284.1701861474357</v>
      </c>
      <c r="L21" s="1" t="s">
        <v>32</v>
      </c>
      <c r="M21" s="14">
        <v>1.5</v>
      </c>
      <c r="N21" s="14">
        <v>556</v>
      </c>
      <c r="O21" s="48"/>
      <c r="P21" s="49"/>
      <c r="Z21" s="2"/>
      <c r="AA21" s="2"/>
      <c r="AB21" s="2"/>
    </row>
    <row r="22" spans="1:28" ht="17.25" thickBot="1" x14ac:dyDescent="0.35">
      <c r="A22" s="80">
        <v>44376</v>
      </c>
      <c r="B22" s="18">
        <v>44377</v>
      </c>
      <c r="C22" s="14" t="s">
        <v>18</v>
      </c>
      <c r="D22" s="14" t="s">
        <v>22</v>
      </c>
      <c r="E22" s="14">
        <v>50</v>
      </c>
      <c r="F22" s="14">
        <v>16</v>
      </c>
      <c r="G22" s="14">
        <v>1031</v>
      </c>
      <c r="H22" s="14">
        <v>1479124</v>
      </c>
      <c r="I22" s="14">
        <f t="shared" si="1"/>
        <v>2.4162223856114444</v>
      </c>
      <c r="J22" s="15">
        <f t="shared" si="0"/>
        <v>15242.844476006574</v>
      </c>
      <c r="L22" s="7" t="s">
        <v>32</v>
      </c>
      <c r="M22" s="58">
        <v>1.5</v>
      </c>
      <c r="N22" s="58">
        <v>635</v>
      </c>
      <c r="O22" s="50"/>
      <c r="P22" s="51"/>
      <c r="Z22" s="2"/>
      <c r="AA22" s="2"/>
      <c r="AB22" s="2"/>
    </row>
    <row r="23" spans="1:28" ht="17.25" thickBot="1" x14ac:dyDescent="0.35">
      <c r="A23" s="80">
        <v>44376</v>
      </c>
      <c r="B23" s="18">
        <v>44377</v>
      </c>
      <c r="C23" s="26" t="s">
        <v>18</v>
      </c>
      <c r="D23" s="26" t="s">
        <v>23</v>
      </c>
      <c r="E23" s="26">
        <v>10</v>
      </c>
      <c r="F23" s="26">
        <v>17</v>
      </c>
      <c r="G23" s="26">
        <v>1094</v>
      </c>
      <c r="H23" s="26">
        <v>374213</v>
      </c>
      <c r="I23" s="26">
        <f t="shared" si="1"/>
        <v>2.594180275976842</v>
      </c>
      <c r="J23" s="27">
        <f t="shared" si="0"/>
        <v>3565.2311648235809</v>
      </c>
      <c r="N23" s="2"/>
      <c r="O23" s="2"/>
      <c r="P23" s="2"/>
      <c r="Z23" s="2"/>
      <c r="AA23" s="2"/>
      <c r="AB23" s="2"/>
    </row>
    <row r="24" spans="1:28" ht="17.25" thickBot="1" x14ac:dyDescent="0.35">
      <c r="A24" s="80">
        <v>44376</v>
      </c>
      <c r="B24" s="18">
        <v>44377</v>
      </c>
      <c r="C24" s="28" t="s">
        <v>18</v>
      </c>
      <c r="D24" s="28" t="s">
        <v>23</v>
      </c>
      <c r="E24" s="28">
        <v>20</v>
      </c>
      <c r="F24" s="28">
        <v>18</v>
      </c>
      <c r="G24" s="28">
        <v>703</v>
      </c>
      <c r="H24" s="28">
        <v>1598825</v>
      </c>
      <c r="I24" s="28">
        <f t="shared" si="1"/>
        <v>1.4897114643439791</v>
      </c>
      <c r="J24" s="29">
        <f t="shared" si="0"/>
        <v>16507.9436477606</v>
      </c>
      <c r="L24" s="39" t="s">
        <v>33</v>
      </c>
      <c r="N24" s="59"/>
      <c r="O24" s="59"/>
      <c r="P24" s="2"/>
      <c r="Z24" s="2"/>
      <c r="AA24" s="2"/>
      <c r="AB24" s="2"/>
    </row>
    <row r="25" spans="1:28" ht="17.25" thickBot="1" x14ac:dyDescent="0.35">
      <c r="A25" s="80">
        <v>44376</v>
      </c>
      <c r="B25" s="18">
        <v>44377</v>
      </c>
      <c r="C25" s="28" t="s">
        <v>18</v>
      </c>
      <c r="D25" s="28" t="s">
        <v>23</v>
      </c>
      <c r="E25" s="28">
        <v>35</v>
      </c>
      <c r="F25" s="28">
        <v>19</v>
      </c>
      <c r="G25" s="28">
        <v>629</v>
      </c>
      <c r="H25" s="28">
        <v>2801491</v>
      </c>
      <c r="I25" s="28">
        <f t="shared" si="1"/>
        <v>1.2806815613750995</v>
      </c>
      <c r="J25" s="29">
        <f t="shared" si="0"/>
        <v>29218.712651333924</v>
      </c>
      <c r="L25" s="40" t="s">
        <v>13</v>
      </c>
      <c r="M25" s="41" t="s">
        <v>14</v>
      </c>
      <c r="N25" s="41" t="s">
        <v>0</v>
      </c>
      <c r="O25" s="42" t="s">
        <v>26</v>
      </c>
      <c r="P25" s="43" t="s">
        <v>27</v>
      </c>
      <c r="Z25" s="2"/>
      <c r="AA25" s="2"/>
      <c r="AB25" s="2"/>
    </row>
    <row r="26" spans="1:28" ht="17.25" thickBot="1" x14ac:dyDescent="0.35">
      <c r="A26" s="80">
        <v>44376</v>
      </c>
      <c r="B26" s="18">
        <v>44377</v>
      </c>
      <c r="C26" s="33" t="s">
        <v>18</v>
      </c>
      <c r="D26" s="33" t="s">
        <v>23</v>
      </c>
      <c r="E26" s="33">
        <v>50</v>
      </c>
      <c r="F26" s="33">
        <v>20</v>
      </c>
      <c r="G26" s="34">
        <v>658</v>
      </c>
      <c r="H26" s="34">
        <v>2548230</v>
      </c>
      <c r="I26" s="33">
        <f t="shared" si="1"/>
        <v>1.3625986855115524</v>
      </c>
      <c r="J26" s="35">
        <f t="shared" si="0"/>
        <v>26542.040933156157</v>
      </c>
      <c r="L26" s="44" t="s">
        <v>28</v>
      </c>
      <c r="M26" s="45">
        <v>1375</v>
      </c>
      <c r="N26" s="45">
        <v>152845</v>
      </c>
      <c r="O26" s="60">
        <f>AVERAGE(M26:M28)</f>
        <v>1375</v>
      </c>
      <c r="P26" s="61">
        <f>AVERAGE(N26:N28)</f>
        <v>186446</v>
      </c>
      <c r="Z26" s="2"/>
      <c r="AA26" s="2"/>
      <c r="AB26" s="2"/>
    </row>
    <row r="27" spans="1:28" ht="17.25" thickBot="1" x14ac:dyDescent="0.35">
      <c r="A27" s="80">
        <v>44376</v>
      </c>
      <c r="B27" s="18">
        <v>44377</v>
      </c>
      <c r="C27" s="21" t="s">
        <v>24</v>
      </c>
      <c r="D27" s="19" t="s">
        <v>19</v>
      </c>
      <c r="E27" s="19">
        <v>10</v>
      </c>
      <c r="F27" s="19">
        <v>21</v>
      </c>
      <c r="G27" s="21">
        <v>878</v>
      </c>
      <c r="H27" s="21">
        <v>1073841</v>
      </c>
      <c r="I27" s="19">
        <f t="shared" si="1"/>
        <v>1.984038937581194</v>
      </c>
      <c r="J27" s="20">
        <f t="shared" si="0"/>
        <v>10959.47852563032</v>
      </c>
      <c r="L27" s="10" t="s">
        <v>28</v>
      </c>
      <c r="M27" s="62">
        <v>1375</v>
      </c>
      <c r="N27" s="62">
        <v>189169</v>
      </c>
      <c r="O27" s="63"/>
      <c r="P27" s="64"/>
      <c r="Z27" s="2"/>
      <c r="AA27" s="2"/>
      <c r="AB27" s="2"/>
    </row>
    <row r="28" spans="1:28" ht="17.25" thickBot="1" x14ac:dyDescent="0.35">
      <c r="A28" s="80">
        <v>44376</v>
      </c>
      <c r="B28" s="18">
        <v>44377</v>
      </c>
      <c r="C28" s="16" t="s">
        <v>24</v>
      </c>
      <c r="D28" s="14" t="s">
        <v>19</v>
      </c>
      <c r="E28" s="14">
        <v>20</v>
      </c>
      <c r="F28" s="14">
        <v>22</v>
      </c>
      <c r="G28" s="16">
        <v>716</v>
      </c>
      <c r="H28" s="16">
        <v>1636209</v>
      </c>
      <c r="I28" s="14">
        <f t="shared" si="1"/>
        <v>1.526432933784458</v>
      </c>
      <c r="J28" s="15">
        <f t="shared" si="0"/>
        <v>16903.04867977247</v>
      </c>
      <c r="L28" s="7" t="s">
        <v>28</v>
      </c>
      <c r="M28" s="65">
        <v>1375</v>
      </c>
      <c r="N28" s="65">
        <v>217324</v>
      </c>
      <c r="O28" s="66"/>
      <c r="P28" s="67"/>
      <c r="Z28" s="2"/>
      <c r="AA28" s="2"/>
      <c r="AB28" s="2"/>
    </row>
    <row r="29" spans="1:28" ht="17.25" thickBot="1" x14ac:dyDescent="0.35">
      <c r="A29" s="80">
        <v>44376</v>
      </c>
      <c r="B29" s="18">
        <v>44377</v>
      </c>
      <c r="C29" s="16" t="s">
        <v>24</v>
      </c>
      <c r="D29" s="14" t="s">
        <v>19</v>
      </c>
      <c r="E29" s="14">
        <v>35</v>
      </c>
      <c r="F29" s="14">
        <v>23</v>
      </c>
      <c r="G29" s="16">
        <v>709</v>
      </c>
      <c r="H29" s="16">
        <v>1741074</v>
      </c>
      <c r="I29" s="14">
        <f t="shared" si="1"/>
        <v>1.5066598348549691</v>
      </c>
      <c r="J29" s="15">
        <f t="shared" si="0"/>
        <v>18011.348732787785</v>
      </c>
      <c r="L29" s="10" t="s">
        <v>29</v>
      </c>
      <c r="M29" s="62">
        <v>916.7</v>
      </c>
      <c r="N29" s="62">
        <v>168471</v>
      </c>
      <c r="O29" s="63">
        <f>AVERAGE(M29:M31)</f>
        <v>916.70000000000016</v>
      </c>
      <c r="P29" s="64">
        <f>AVERAGE(N29:N31)</f>
        <v>151678</v>
      </c>
      <c r="Z29" s="3" t="s">
        <v>15</v>
      </c>
      <c r="AA29" s="2">
        <f>SLOPE(O26:O43,P26:P43)</f>
        <v>1.056882709212144E-2</v>
      </c>
      <c r="AB29" s="2"/>
    </row>
    <row r="30" spans="1:28" ht="17.25" thickBot="1" x14ac:dyDescent="0.35">
      <c r="A30" s="80">
        <v>44376</v>
      </c>
      <c r="B30" s="18">
        <v>44377</v>
      </c>
      <c r="C30" s="36" t="s">
        <v>24</v>
      </c>
      <c r="D30" s="30" t="s">
        <v>19</v>
      </c>
      <c r="E30" s="30">
        <v>50</v>
      </c>
      <c r="F30" s="30">
        <v>24</v>
      </c>
      <c r="G30" s="36">
        <v>523</v>
      </c>
      <c r="H30" s="36">
        <v>3416781</v>
      </c>
      <c r="I30" s="30">
        <f t="shared" si="1"/>
        <v>0.98126034901427217</v>
      </c>
      <c r="J30" s="31">
        <f t="shared" si="0"/>
        <v>35721.606272845325</v>
      </c>
      <c r="L30" s="10" t="s">
        <v>29</v>
      </c>
      <c r="M30" s="62">
        <v>916.7</v>
      </c>
      <c r="N30" s="71">
        <v>139485</v>
      </c>
      <c r="O30" s="72"/>
      <c r="P30" s="73"/>
      <c r="Z30" s="3" t="s">
        <v>16</v>
      </c>
      <c r="AA30" s="2">
        <f>INTERCEPT(O26:O43,P26:P43)</f>
        <v>-389.76132780045964</v>
      </c>
      <c r="AB30" s="2"/>
    </row>
    <row r="31" spans="1:28" ht="17.25" thickBot="1" x14ac:dyDescent="0.35">
      <c r="A31" s="80">
        <v>44376</v>
      </c>
      <c r="B31" s="18">
        <v>44377</v>
      </c>
      <c r="C31" s="21" t="s">
        <v>24</v>
      </c>
      <c r="D31" s="19" t="s">
        <v>20</v>
      </c>
      <c r="E31" s="19">
        <v>10</v>
      </c>
      <c r="F31" s="19">
        <v>25</v>
      </c>
      <c r="G31" s="19">
        <v>829</v>
      </c>
      <c r="H31" s="19">
        <v>2019590</v>
      </c>
      <c r="I31" s="19">
        <f t="shared" si="1"/>
        <v>1.8456272450747737</v>
      </c>
      <c r="J31" s="20">
        <f t="shared" si="0"/>
        <v>20954.936179177079</v>
      </c>
      <c r="L31" s="55" t="s">
        <v>29</v>
      </c>
      <c r="M31" s="71">
        <v>916.7</v>
      </c>
      <c r="N31" s="71">
        <v>147078</v>
      </c>
      <c r="O31" s="72"/>
      <c r="P31" s="73"/>
      <c r="Z31" s="2"/>
      <c r="AA31" s="2"/>
    </row>
    <row r="32" spans="1:28" ht="17.25" thickBot="1" x14ac:dyDescent="0.35">
      <c r="A32" s="80">
        <v>44376</v>
      </c>
      <c r="B32" s="18">
        <v>44377</v>
      </c>
      <c r="C32" s="16" t="s">
        <v>24</v>
      </c>
      <c r="D32" s="14" t="s">
        <v>20</v>
      </c>
      <c r="E32" s="14">
        <v>20</v>
      </c>
      <c r="F32" s="14">
        <v>26</v>
      </c>
      <c r="G32" s="14">
        <v>664</v>
      </c>
      <c r="H32" s="14">
        <v>2775105</v>
      </c>
      <c r="I32" s="14">
        <f t="shared" si="1"/>
        <v>1.3795470560225425</v>
      </c>
      <c r="J32" s="15">
        <f t="shared" si="0"/>
        <v>28939.843579681208</v>
      </c>
      <c r="L32" s="17" t="s">
        <v>30</v>
      </c>
      <c r="M32" s="45">
        <v>550</v>
      </c>
      <c r="N32" s="45">
        <v>110832</v>
      </c>
      <c r="O32" s="60">
        <f>AVERAGE(M32:M34)</f>
        <v>550</v>
      </c>
      <c r="P32" s="61">
        <f>AVERAGE(N32:N34)</f>
        <v>99249.333333333328</v>
      </c>
      <c r="Z32" s="2"/>
      <c r="AA32" s="2"/>
    </row>
    <row r="33" spans="1:27" ht="17.25" thickBot="1" x14ac:dyDescent="0.35">
      <c r="A33" s="80">
        <v>44376</v>
      </c>
      <c r="B33" s="18">
        <v>44377</v>
      </c>
      <c r="C33" s="16" t="s">
        <v>24</v>
      </c>
      <c r="D33" s="14" t="s">
        <v>20</v>
      </c>
      <c r="E33" s="14">
        <v>35</v>
      </c>
      <c r="F33" s="14">
        <v>27</v>
      </c>
      <c r="G33" s="14">
        <v>535</v>
      </c>
      <c r="H33" s="14">
        <v>3394488</v>
      </c>
      <c r="I33" s="14">
        <f t="shared" si="1"/>
        <v>1.0151570900362528</v>
      </c>
      <c r="J33" s="15">
        <f t="shared" si="0"/>
        <v>35485.995410480667</v>
      </c>
      <c r="L33" s="10" t="s">
        <v>30</v>
      </c>
      <c r="M33" s="62">
        <v>550</v>
      </c>
      <c r="N33" s="62">
        <v>89078</v>
      </c>
      <c r="O33" s="63"/>
      <c r="P33" s="64"/>
      <c r="Z33" s="2"/>
      <c r="AA33" s="2"/>
    </row>
    <row r="34" spans="1:27" ht="17.25" thickBot="1" x14ac:dyDescent="0.35">
      <c r="A34" s="80">
        <v>44376</v>
      </c>
      <c r="B34" s="18">
        <v>44377</v>
      </c>
      <c r="C34" s="16" t="s">
        <v>24</v>
      </c>
      <c r="D34" s="14" t="s">
        <v>20</v>
      </c>
      <c r="E34" s="14">
        <v>50</v>
      </c>
      <c r="F34" s="14">
        <v>28</v>
      </c>
      <c r="G34" s="14">
        <v>651</v>
      </c>
      <c r="H34" s="14">
        <v>4769872</v>
      </c>
      <c r="I34" s="14">
        <f t="shared" si="1"/>
        <v>1.3428255865820637</v>
      </c>
      <c r="J34" s="15">
        <f t="shared" si="0"/>
        <v>50022.191091751018</v>
      </c>
      <c r="L34" s="12" t="s">
        <v>30</v>
      </c>
      <c r="M34" s="65">
        <v>550</v>
      </c>
      <c r="N34" s="65">
        <v>97838</v>
      </c>
      <c r="O34" s="66"/>
      <c r="P34" s="67"/>
      <c r="Z34" s="2"/>
      <c r="AA34" s="2"/>
    </row>
    <row r="35" spans="1:27" ht="17.25" thickBot="1" x14ac:dyDescent="0.35">
      <c r="A35" s="80">
        <v>44376</v>
      </c>
      <c r="B35" s="18">
        <v>44377</v>
      </c>
      <c r="C35" s="37" t="s">
        <v>24</v>
      </c>
      <c r="D35" s="26" t="s">
        <v>21</v>
      </c>
      <c r="E35" s="26">
        <v>10</v>
      </c>
      <c r="F35" s="26">
        <v>29</v>
      </c>
      <c r="G35" s="26">
        <v>944</v>
      </c>
      <c r="H35" s="26">
        <v>973390</v>
      </c>
      <c r="I35" s="26">
        <f t="shared" si="1"/>
        <v>2.1704710132020861</v>
      </c>
      <c r="J35" s="27">
        <f t="shared" si="0"/>
        <v>9897.8292753996302</v>
      </c>
      <c r="L35" s="8" t="s">
        <v>31</v>
      </c>
      <c r="M35" s="68">
        <v>275</v>
      </c>
      <c r="N35" s="68">
        <v>108399</v>
      </c>
      <c r="O35" s="69">
        <f>AVERAGE(M35:M37)</f>
        <v>275</v>
      </c>
      <c r="P35" s="70">
        <f>AVERAGE(N35:N37)</f>
        <v>70819.666666666672</v>
      </c>
      <c r="Z35" s="2"/>
      <c r="AA35" s="2"/>
    </row>
    <row r="36" spans="1:27" ht="17.25" thickBot="1" x14ac:dyDescent="0.35">
      <c r="A36" s="80">
        <v>44376</v>
      </c>
      <c r="B36" s="18">
        <v>44377</v>
      </c>
      <c r="C36" s="32" t="s">
        <v>24</v>
      </c>
      <c r="D36" s="28" t="s">
        <v>21</v>
      </c>
      <c r="E36" s="28">
        <v>20</v>
      </c>
      <c r="F36" s="28">
        <v>30</v>
      </c>
      <c r="G36" s="28">
        <v>613</v>
      </c>
      <c r="H36" s="28">
        <v>1434353</v>
      </c>
      <c r="I36" s="28">
        <f t="shared" si="1"/>
        <v>1.2354859066791255</v>
      </c>
      <c r="J36" s="29">
        <f t="shared" si="0"/>
        <v>14769.667518265205</v>
      </c>
      <c r="L36" s="10" t="s">
        <v>31</v>
      </c>
      <c r="M36" s="62">
        <v>275</v>
      </c>
      <c r="N36" s="62">
        <v>46898</v>
      </c>
      <c r="O36" s="63"/>
      <c r="P36" s="64"/>
    </row>
    <row r="37" spans="1:27" ht="17.25" thickBot="1" x14ac:dyDescent="0.35">
      <c r="A37" s="80">
        <v>44376</v>
      </c>
      <c r="B37" s="18">
        <v>44377</v>
      </c>
      <c r="C37" s="32" t="s">
        <v>24</v>
      </c>
      <c r="D37" s="28" t="s">
        <v>21</v>
      </c>
      <c r="E37" s="28">
        <v>35</v>
      </c>
      <c r="F37" s="28">
        <v>31</v>
      </c>
      <c r="G37" s="28">
        <v>665</v>
      </c>
      <c r="H37" s="28">
        <v>1722410</v>
      </c>
      <c r="I37" s="28">
        <f t="shared" si="1"/>
        <v>1.3823717844410408</v>
      </c>
      <c r="J37" s="29">
        <f t="shared" si="0"/>
        <v>17814.09214394043</v>
      </c>
      <c r="L37" s="55" t="s">
        <v>31</v>
      </c>
      <c r="M37" s="71">
        <v>275</v>
      </c>
      <c r="N37" s="71">
        <v>57162</v>
      </c>
      <c r="O37" s="72"/>
      <c r="P37" s="73"/>
    </row>
    <row r="38" spans="1:27" ht="17.25" thickBot="1" x14ac:dyDescent="0.35">
      <c r="A38" s="80">
        <v>44376</v>
      </c>
      <c r="B38" s="18">
        <v>44377</v>
      </c>
      <c r="C38" s="34" t="s">
        <v>24</v>
      </c>
      <c r="D38" s="33" t="s">
        <v>21</v>
      </c>
      <c r="E38" s="33">
        <v>50</v>
      </c>
      <c r="F38" s="33">
        <v>32</v>
      </c>
      <c r="G38" s="33">
        <v>550</v>
      </c>
      <c r="H38" s="33">
        <v>3114156</v>
      </c>
      <c r="I38" s="33">
        <f t="shared" si="1"/>
        <v>1.0575280163137282</v>
      </c>
      <c r="J38" s="35">
        <f t="shared" si="0"/>
        <v>32523.214974092076</v>
      </c>
      <c r="L38" s="17" t="s">
        <v>32</v>
      </c>
      <c r="M38" s="45">
        <v>91.7</v>
      </c>
      <c r="N38" s="45">
        <v>50134</v>
      </c>
      <c r="O38" s="60">
        <f>AVERAGE(M38:M40)</f>
        <v>91.7</v>
      </c>
      <c r="P38" s="61">
        <f>AVERAGE(N38:N40)</f>
        <v>35861</v>
      </c>
    </row>
    <row r="39" spans="1:27" ht="17.25" thickBot="1" x14ac:dyDescent="0.35">
      <c r="A39" s="80">
        <v>44376</v>
      </c>
      <c r="B39" s="18">
        <v>44377</v>
      </c>
      <c r="C39" s="21" t="s">
        <v>24</v>
      </c>
      <c r="D39" s="19" t="s">
        <v>22</v>
      </c>
      <c r="E39" s="19">
        <v>10</v>
      </c>
      <c r="F39" s="19">
        <v>33</v>
      </c>
      <c r="G39" s="19">
        <v>996</v>
      </c>
      <c r="H39" s="19">
        <v>1216511</v>
      </c>
      <c r="I39" s="19">
        <f t="shared" si="1"/>
        <v>2.3173568909640014</v>
      </c>
      <c r="J39" s="20">
        <f t="shared" ref="J39:J66" si="2">(H39*$AA$29)+$AA$30</f>
        <v>12467.333086863286</v>
      </c>
      <c r="L39" s="1" t="s">
        <v>32</v>
      </c>
      <c r="M39" s="62">
        <v>91.7</v>
      </c>
      <c r="N39" s="62">
        <v>26760</v>
      </c>
      <c r="O39" s="63"/>
      <c r="P39" s="64"/>
    </row>
    <row r="40" spans="1:27" ht="17.25" thickBot="1" x14ac:dyDescent="0.35">
      <c r="A40" s="80">
        <v>44376</v>
      </c>
      <c r="B40" s="18">
        <v>44377</v>
      </c>
      <c r="C40" s="16" t="s">
        <v>24</v>
      </c>
      <c r="D40" s="14" t="s">
        <v>22</v>
      </c>
      <c r="E40" s="14">
        <v>20</v>
      </c>
      <c r="F40" s="14">
        <v>34</v>
      </c>
      <c r="G40" s="14">
        <v>781</v>
      </c>
      <c r="H40" s="14">
        <v>2223836</v>
      </c>
      <c r="I40" s="14">
        <f t="shared" si="1"/>
        <v>1.7100402809868518</v>
      </c>
      <c r="J40" s="15">
        <f t="shared" si="2"/>
        <v>23113.576837434513</v>
      </c>
      <c r="L40" s="76" t="s">
        <v>32</v>
      </c>
      <c r="M40" s="71">
        <v>91.7</v>
      </c>
      <c r="N40" s="71">
        <v>30689</v>
      </c>
      <c r="O40" s="71"/>
      <c r="P40" s="77"/>
    </row>
    <row r="41" spans="1:27" ht="17.25" thickBot="1" x14ac:dyDescent="0.35">
      <c r="A41" s="80">
        <v>44376</v>
      </c>
      <c r="B41" s="18">
        <v>44377</v>
      </c>
      <c r="C41" s="16" t="s">
        <v>24</v>
      </c>
      <c r="D41" s="14" t="s">
        <v>22</v>
      </c>
      <c r="E41" s="14">
        <v>35</v>
      </c>
      <c r="F41" s="14">
        <v>35</v>
      </c>
      <c r="G41" s="14">
        <v>796</v>
      </c>
      <c r="H41" s="14">
        <v>2136592</v>
      </c>
      <c r="I41" s="14">
        <f t="shared" si="1"/>
        <v>1.7524112072643274</v>
      </c>
      <c r="J41" s="15">
        <f t="shared" si="2"/>
        <v>22191.510086609473</v>
      </c>
      <c r="L41" s="17" t="s">
        <v>36</v>
      </c>
      <c r="M41" s="45">
        <v>2500</v>
      </c>
      <c r="N41" s="78">
        <v>229931</v>
      </c>
      <c r="O41" s="78">
        <f>AVERAGE(M41:M41)</f>
        <v>2500</v>
      </c>
      <c r="P41" s="79">
        <f>AVERAGE(N41)</f>
        <v>229931</v>
      </c>
    </row>
    <row r="42" spans="1:27" ht="17.25" thickBot="1" x14ac:dyDescent="0.35">
      <c r="A42" s="80">
        <v>44376</v>
      </c>
      <c r="B42" s="18">
        <v>44377</v>
      </c>
      <c r="C42" s="36" t="s">
        <v>24</v>
      </c>
      <c r="D42" s="30" t="s">
        <v>22</v>
      </c>
      <c r="E42" s="30">
        <v>50</v>
      </c>
      <c r="F42" s="30">
        <v>36</v>
      </c>
      <c r="G42" s="30">
        <v>722</v>
      </c>
      <c r="H42" s="30">
        <v>2938197</v>
      </c>
      <c r="I42" s="30">
        <f t="shared" si="1"/>
        <v>1.5433813042954481</v>
      </c>
      <c r="J42" s="31">
        <f t="shared" si="2"/>
        <v>30663.534727789476</v>
      </c>
      <c r="L42" s="114" t="s">
        <v>46</v>
      </c>
      <c r="M42" s="115">
        <v>5000</v>
      </c>
      <c r="N42" s="116">
        <v>483780</v>
      </c>
      <c r="O42" s="78">
        <f>AVERAGE(M42:M42)</f>
        <v>5000</v>
      </c>
      <c r="P42" s="79">
        <f t="shared" ref="P42:P43" si="3">AVERAGE(N42)</f>
        <v>483780</v>
      </c>
    </row>
    <row r="43" spans="1:27" ht="17.25" thickBot="1" x14ac:dyDescent="0.35">
      <c r="A43" s="80">
        <v>44376</v>
      </c>
      <c r="B43" s="18">
        <v>44377</v>
      </c>
      <c r="C43" s="21" t="s">
        <v>24</v>
      </c>
      <c r="D43" s="19" t="s">
        <v>23</v>
      </c>
      <c r="E43" s="19">
        <v>10</v>
      </c>
      <c r="F43" s="19">
        <v>37</v>
      </c>
      <c r="G43" s="19">
        <v>975</v>
      </c>
      <c r="H43" s="19">
        <v>1076474</v>
      </c>
      <c r="I43" s="19">
        <f t="shared" si="1"/>
        <v>2.2580375941755357</v>
      </c>
      <c r="J43" s="20">
        <f t="shared" si="2"/>
        <v>10987.306247363877</v>
      </c>
      <c r="L43" s="82" t="s">
        <v>34</v>
      </c>
      <c r="M43" s="83">
        <v>10000</v>
      </c>
      <c r="N43" s="84">
        <v>996647</v>
      </c>
      <c r="O43" s="84">
        <f>M43</f>
        <v>10000</v>
      </c>
      <c r="P43" s="79">
        <f t="shared" si="3"/>
        <v>996647</v>
      </c>
    </row>
    <row r="44" spans="1:27" ht="17.25" thickBot="1" x14ac:dyDescent="0.35">
      <c r="A44" s="80">
        <v>44376</v>
      </c>
      <c r="B44" s="18">
        <v>44377</v>
      </c>
      <c r="C44" s="16" t="s">
        <v>24</v>
      </c>
      <c r="D44" s="14" t="s">
        <v>23</v>
      </c>
      <c r="E44" s="14">
        <v>20</v>
      </c>
      <c r="F44" s="14">
        <v>38</v>
      </c>
      <c r="G44" s="14">
        <v>684</v>
      </c>
      <c r="H44" s="14">
        <v>2223962</v>
      </c>
      <c r="I44" s="14">
        <f t="shared" si="1"/>
        <v>1.4360416243925098</v>
      </c>
      <c r="J44" s="15">
        <f t="shared" si="2"/>
        <v>23114.908509648121</v>
      </c>
    </row>
    <row r="45" spans="1:27" ht="17.25" thickBot="1" x14ac:dyDescent="0.35">
      <c r="A45" s="80">
        <v>44376</v>
      </c>
      <c r="B45" s="18">
        <v>44377</v>
      </c>
      <c r="C45" s="16" t="s">
        <v>24</v>
      </c>
      <c r="D45" s="14" t="s">
        <v>23</v>
      </c>
      <c r="E45" s="14">
        <v>35</v>
      </c>
      <c r="F45" s="14">
        <v>39</v>
      </c>
      <c r="G45" s="14">
        <v>688</v>
      </c>
      <c r="H45" s="14">
        <v>2204276</v>
      </c>
      <c r="I45" s="14">
        <f t="shared" si="1"/>
        <v>1.4473405380665034</v>
      </c>
      <c r="J45" s="15">
        <f t="shared" si="2"/>
        <v>22906.850579512618</v>
      </c>
      <c r="L45" s="2"/>
      <c r="M45" s="81"/>
    </row>
    <row r="46" spans="1:27" ht="17.25" thickBot="1" x14ac:dyDescent="0.35">
      <c r="A46" s="80">
        <v>44376</v>
      </c>
      <c r="B46" s="18">
        <v>44377</v>
      </c>
      <c r="C46" s="16" t="s">
        <v>24</v>
      </c>
      <c r="D46" s="14" t="s">
        <v>23</v>
      </c>
      <c r="E46" s="14">
        <v>50</v>
      </c>
      <c r="F46" s="14">
        <v>40</v>
      </c>
      <c r="G46" s="14">
        <v>460</v>
      </c>
      <c r="H46" s="14">
        <v>3897266</v>
      </c>
      <c r="I46" s="14">
        <f t="shared" si="1"/>
        <v>0.80330245864887484</v>
      </c>
      <c r="J46" s="15">
        <f t="shared" si="2"/>
        <v>40799.7691582033</v>
      </c>
    </row>
    <row r="47" spans="1:27" ht="17.25" thickBot="1" x14ac:dyDescent="0.35">
      <c r="A47" s="80">
        <v>44376</v>
      </c>
      <c r="B47" s="18">
        <v>44377</v>
      </c>
      <c r="C47" s="26" t="s">
        <v>25</v>
      </c>
      <c r="D47" s="26" t="s">
        <v>19</v>
      </c>
      <c r="E47" s="26">
        <v>10</v>
      </c>
      <c r="F47" s="26">
        <v>41</v>
      </c>
      <c r="G47" s="26">
        <v>1001</v>
      </c>
      <c r="H47" s="26">
        <v>424990</v>
      </c>
      <c r="I47" s="26">
        <f t="shared" si="1"/>
        <v>2.3314805330564936</v>
      </c>
      <c r="J47" s="27">
        <f t="shared" si="2"/>
        <v>4101.8844980802314</v>
      </c>
    </row>
    <row r="48" spans="1:27" ht="17.25" thickBot="1" x14ac:dyDescent="0.35">
      <c r="A48" s="80">
        <v>44376</v>
      </c>
      <c r="B48" s="18">
        <v>44377</v>
      </c>
      <c r="C48" s="28" t="s">
        <v>25</v>
      </c>
      <c r="D48" s="28" t="s">
        <v>19</v>
      </c>
      <c r="E48" s="28">
        <v>20</v>
      </c>
      <c r="F48" s="28">
        <v>42</v>
      </c>
      <c r="G48" s="28">
        <v>604</v>
      </c>
      <c r="H48" s="28">
        <v>1760503</v>
      </c>
      <c r="I48" s="28">
        <f t="shared" si="1"/>
        <v>1.2100633509126402</v>
      </c>
      <c r="J48" s="29">
        <f t="shared" si="2"/>
        <v>18216.69047436061</v>
      </c>
    </row>
    <row r="49" spans="1:17" ht="17.25" thickBot="1" x14ac:dyDescent="0.35">
      <c r="A49" s="80">
        <v>44376</v>
      </c>
      <c r="B49" s="18">
        <v>44377</v>
      </c>
      <c r="C49" s="28" t="s">
        <v>25</v>
      </c>
      <c r="D49" s="28" t="s">
        <v>19</v>
      </c>
      <c r="E49" s="28">
        <v>35</v>
      </c>
      <c r="F49" s="28">
        <v>43</v>
      </c>
      <c r="G49" s="28">
        <v>651</v>
      </c>
      <c r="H49" s="28">
        <v>1833534</v>
      </c>
      <c r="I49" s="28">
        <f t="shared" si="1"/>
        <v>1.3428255865820637</v>
      </c>
      <c r="J49" s="29">
        <f t="shared" si="2"/>
        <v>18988.542485725331</v>
      </c>
    </row>
    <row r="50" spans="1:17" ht="17.25" thickBot="1" x14ac:dyDescent="0.35">
      <c r="A50" s="80">
        <v>44376</v>
      </c>
      <c r="B50" s="18">
        <v>44377</v>
      </c>
      <c r="C50" s="28" t="s">
        <v>25</v>
      </c>
      <c r="D50" s="28" t="s">
        <v>19</v>
      </c>
      <c r="E50" s="28">
        <v>50</v>
      </c>
      <c r="F50" s="28">
        <v>44</v>
      </c>
      <c r="G50" s="28">
        <v>501</v>
      </c>
      <c r="H50" s="28">
        <v>3046475</v>
      </c>
      <c r="I50" s="28">
        <f t="shared" si="1"/>
        <v>0.91911632380730812</v>
      </c>
      <c r="J50" s="29">
        <f t="shared" si="2"/>
        <v>31807.906187670204</v>
      </c>
    </row>
    <row r="51" spans="1:17" ht="17.25" thickBot="1" x14ac:dyDescent="0.35">
      <c r="A51" s="80">
        <v>44376</v>
      </c>
      <c r="B51" s="18">
        <v>44377</v>
      </c>
      <c r="C51" s="19" t="s">
        <v>25</v>
      </c>
      <c r="D51" s="19" t="s">
        <v>20</v>
      </c>
      <c r="E51" s="19">
        <v>10</v>
      </c>
      <c r="F51" s="19">
        <v>45</v>
      </c>
      <c r="G51" s="19">
        <v>1010</v>
      </c>
      <c r="H51" s="19">
        <v>908014</v>
      </c>
      <c r="I51" s="19">
        <f t="shared" si="1"/>
        <v>2.3569030888229787</v>
      </c>
      <c r="J51" s="20">
        <f t="shared" si="2"/>
        <v>9206.8816354250976</v>
      </c>
    </row>
    <row r="52" spans="1:17" ht="17.25" thickBot="1" x14ac:dyDescent="0.35">
      <c r="A52" s="80">
        <v>44376</v>
      </c>
      <c r="B52" s="18">
        <v>44377</v>
      </c>
      <c r="C52" s="14" t="s">
        <v>25</v>
      </c>
      <c r="D52" s="14" t="s">
        <v>20</v>
      </c>
      <c r="E52" s="14">
        <v>20</v>
      </c>
      <c r="F52" s="14">
        <v>46</v>
      </c>
      <c r="G52" s="14">
        <v>629</v>
      </c>
      <c r="H52" s="14">
        <v>2177550</v>
      </c>
      <c r="I52" s="14">
        <f t="shared" si="1"/>
        <v>1.2806815613750995</v>
      </c>
      <c r="J52" s="15">
        <f t="shared" si="2"/>
        <v>22624.388106648581</v>
      </c>
    </row>
    <row r="53" spans="1:17" ht="17.25" thickBot="1" x14ac:dyDescent="0.35">
      <c r="A53" s="80">
        <v>44376</v>
      </c>
      <c r="B53" s="18">
        <v>44377</v>
      </c>
      <c r="C53" s="14" t="s">
        <v>25</v>
      </c>
      <c r="D53" s="14" t="s">
        <v>20</v>
      </c>
      <c r="E53" s="14">
        <v>35</v>
      </c>
      <c r="F53" s="14">
        <v>47</v>
      </c>
      <c r="G53" s="14">
        <v>644</v>
      </c>
      <c r="H53" s="14">
        <v>2573356</v>
      </c>
      <c r="I53" s="14">
        <f t="shared" si="1"/>
        <v>1.3230524876525751</v>
      </c>
      <c r="J53" s="15">
        <f t="shared" si="2"/>
        <v>26807.593282672799</v>
      </c>
    </row>
    <row r="54" spans="1:17" ht="17.25" thickBot="1" x14ac:dyDescent="0.35">
      <c r="A54" s="80">
        <v>44376</v>
      </c>
      <c r="B54" s="18">
        <v>44377</v>
      </c>
      <c r="C54" s="30" t="s">
        <v>25</v>
      </c>
      <c r="D54" s="30" t="s">
        <v>20</v>
      </c>
      <c r="E54" s="30">
        <v>50</v>
      </c>
      <c r="F54" s="30">
        <v>48</v>
      </c>
      <c r="G54" s="30">
        <v>691</v>
      </c>
      <c r="H54" s="30">
        <v>2266542</v>
      </c>
      <c r="I54" s="30">
        <f t="shared" si="1"/>
        <v>1.4558147233219985</v>
      </c>
      <c r="J54" s="31">
        <f t="shared" si="2"/>
        <v>23564.929167230654</v>
      </c>
    </row>
    <row r="55" spans="1:17" ht="17.25" thickBot="1" x14ac:dyDescent="0.35">
      <c r="A55" s="80">
        <v>44376</v>
      </c>
      <c r="B55" s="18">
        <v>44377</v>
      </c>
      <c r="C55" s="19" t="s">
        <v>25</v>
      </c>
      <c r="D55" s="19" t="s">
        <v>21</v>
      </c>
      <c r="E55" s="19">
        <v>10</v>
      </c>
      <c r="F55" s="19">
        <v>49</v>
      </c>
      <c r="G55" s="19">
        <v>847</v>
      </c>
      <c r="H55" s="19">
        <v>2150457</v>
      </c>
      <c r="I55" s="19">
        <f t="shared" si="1"/>
        <v>1.8964723566077444</v>
      </c>
      <c r="J55" s="20">
        <f t="shared" si="2"/>
        <v>22338.046874241736</v>
      </c>
    </row>
    <row r="56" spans="1:17" ht="17.25" thickBot="1" x14ac:dyDescent="0.35">
      <c r="A56" s="80">
        <v>44376</v>
      </c>
      <c r="B56" s="18">
        <v>44377</v>
      </c>
      <c r="C56" s="14" t="s">
        <v>25</v>
      </c>
      <c r="D56" s="14" t="s">
        <v>21</v>
      </c>
      <c r="E56" s="14">
        <v>20</v>
      </c>
      <c r="F56" s="14">
        <v>50</v>
      </c>
      <c r="G56" s="14">
        <v>603</v>
      </c>
      <c r="H56" s="14">
        <v>3755459</v>
      </c>
      <c r="I56" s="14">
        <f t="shared" si="1"/>
        <v>1.2072386224941418</v>
      </c>
      <c r="J56" s="15">
        <f t="shared" si="2"/>
        <v>39301.035494750831</v>
      </c>
      <c r="N56" s="74"/>
      <c r="O56" s="74"/>
      <c r="P56" s="74"/>
      <c r="Q56" s="74"/>
    </row>
    <row r="57" spans="1:17" ht="17.25" thickBot="1" x14ac:dyDescent="0.35">
      <c r="A57" s="80">
        <v>44376</v>
      </c>
      <c r="B57" s="18">
        <v>44377</v>
      </c>
      <c r="C57" s="14" t="s">
        <v>25</v>
      </c>
      <c r="D57" s="14" t="s">
        <v>21</v>
      </c>
      <c r="E57" s="14">
        <v>35</v>
      </c>
      <c r="F57" s="14">
        <v>51</v>
      </c>
      <c r="G57" s="14">
        <v>786</v>
      </c>
      <c r="H57" s="14">
        <v>2702100</v>
      </c>
      <c r="I57" s="14">
        <f t="shared" si="1"/>
        <v>1.724163923079344</v>
      </c>
      <c r="J57" s="15">
        <f t="shared" si="2"/>
        <v>28168.266357820881</v>
      </c>
      <c r="N57" s="2"/>
      <c r="O57" s="2"/>
      <c r="P57" s="2"/>
    </row>
    <row r="58" spans="1:17" ht="17.25" thickBot="1" x14ac:dyDescent="0.35">
      <c r="A58" s="80">
        <v>44376</v>
      </c>
      <c r="B58" s="18">
        <v>44377</v>
      </c>
      <c r="C58" s="30" t="s">
        <v>25</v>
      </c>
      <c r="D58" s="30" t="s">
        <v>21</v>
      </c>
      <c r="E58" s="30">
        <v>50</v>
      </c>
      <c r="F58" s="30">
        <v>52</v>
      </c>
      <c r="G58" s="30">
        <v>495</v>
      </c>
      <c r="H58" s="30">
        <v>5223539</v>
      </c>
      <c r="I58" s="30">
        <f t="shared" si="1"/>
        <v>0.90216795329631783</v>
      </c>
      <c r="J58" s="31">
        <f t="shared" si="2"/>
        <v>54816.919172152477</v>
      </c>
      <c r="N58" s="2"/>
      <c r="O58" s="2"/>
      <c r="P58" s="2"/>
    </row>
    <row r="59" spans="1:17" ht="17.25" thickBot="1" x14ac:dyDescent="0.35">
      <c r="A59" s="80">
        <v>44376</v>
      </c>
      <c r="B59" s="18">
        <v>44377</v>
      </c>
      <c r="C59" s="26" t="s">
        <v>25</v>
      </c>
      <c r="D59" s="26" t="s">
        <v>22</v>
      </c>
      <c r="E59" s="26">
        <v>10</v>
      </c>
      <c r="F59" s="26">
        <v>53</v>
      </c>
      <c r="G59" s="26">
        <v>970</v>
      </c>
      <c r="H59" s="26">
        <v>481046</v>
      </c>
      <c r="I59" s="26">
        <f t="shared" si="1"/>
        <v>2.243913952083044</v>
      </c>
      <c r="J59" s="27">
        <f t="shared" si="2"/>
        <v>4694.3306695561914</v>
      </c>
      <c r="N59" s="2"/>
      <c r="O59" s="2"/>
      <c r="P59" s="2"/>
    </row>
    <row r="60" spans="1:17" ht="17.25" thickBot="1" x14ac:dyDescent="0.35">
      <c r="A60" s="80">
        <v>44376</v>
      </c>
      <c r="B60" s="18">
        <v>44377</v>
      </c>
      <c r="C60" s="28" t="s">
        <v>25</v>
      </c>
      <c r="D60" s="28" t="s">
        <v>22</v>
      </c>
      <c r="E60" s="28">
        <v>20</v>
      </c>
      <c r="F60" s="28">
        <v>54</v>
      </c>
      <c r="G60" s="28">
        <v>562</v>
      </c>
      <c r="H60" s="28">
        <v>1734135</v>
      </c>
      <c r="I60" s="28">
        <f t="shared" si="1"/>
        <v>1.0914247573357088</v>
      </c>
      <c r="J60" s="29">
        <f t="shared" si="2"/>
        <v>17938.011641595553</v>
      </c>
      <c r="N60" s="2"/>
      <c r="O60" s="2"/>
      <c r="P60" s="2"/>
    </row>
    <row r="61" spans="1:17" ht="17.25" thickBot="1" x14ac:dyDescent="0.35">
      <c r="A61" s="80">
        <v>44376</v>
      </c>
      <c r="B61" s="18">
        <v>44377</v>
      </c>
      <c r="C61" s="28" t="s">
        <v>25</v>
      </c>
      <c r="D61" s="28" t="s">
        <v>22</v>
      </c>
      <c r="E61" s="28">
        <v>35</v>
      </c>
      <c r="F61" s="28">
        <v>55</v>
      </c>
      <c r="G61" s="28">
        <v>552</v>
      </c>
      <c r="H61" s="28">
        <v>2078169</v>
      </c>
      <c r="I61" s="28">
        <f t="shared" si="1"/>
        <v>1.0631774731507251</v>
      </c>
      <c r="J61" s="29">
        <f t="shared" si="2"/>
        <v>21574.047501406461</v>
      </c>
      <c r="N61" s="2"/>
      <c r="O61" s="2"/>
      <c r="P61" s="2"/>
    </row>
    <row r="62" spans="1:17" ht="17.25" thickBot="1" x14ac:dyDescent="0.35">
      <c r="A62" s="80">
        <v>44376</v>
      </c>
      <c r="B62" s="18">
        <v>44377</v>
      </c>
      <c r="C62" s="33" t="s">
        <v>25</v>
      </c>
      <c r="D62" s="33" t="s">
        <v>22</v>
      </c>
      <c r="E62" s="33">
        <v>50</v>
      </c>
      <c r="F62" s="33">
        <v>56</v>
      </c>
      <c r="G62" s="33">
        <v>453</v>
      </c>
      <c r="H62" s="33">
        <v>2403968</v>
      </c>
      <c r="I62" s="33">
        <f t="shared" si="1"/>
        <v>0.7835293597193862</v>
      </c>
      <c r="J62" s="35">
        <f t="shared" si="2"/>
        <v>25017.360799192535</v>
      </c>
      <c r="N62" s="2"/>
      <c r="O62" s="2"/>
      <c r="P62" s="2"/>
    </row>
    <row r="63" spans="1:17" ht="17.25" thickBot="1" x14ac:dyDescent="0.35">
      <c r="A63" s="80">
        <v>44376</v>
      </c>
      <c r="B63" s="18">
        <v>44377</v>
      </c>
      <c r="C63" s="19" t="s">
        <v>25</v>
      </c>
      <c r="D63" s="19" t="s">
        <v>23</v>
      </c>
      <c r="E63" s="19">
        <v>10</v>
      </c>
      <c r="F63" s="19">
        <v>57</v>
      </c>
      <c r="G63" s="19">
        <v>829</v>
      </c>
      <c r="H63" s="19">
        <v>1838428</v>
      </c>
      <c r="I63" s="19">
        <f t="shared" si="1"/>
        <v>1.8456272450747737</v>
      </c>
      <c r="J63" s="20">
        <f t="shared" si="2"/>
        <v>19040.266325514174</v>
      </c>
      <c r="N63" s="2"/>
      <c r="O63" s="2"/>
      <c r="P63" s="2"/>
    </row>
    <row r="64" spans="1:17" ht="17.25" thickBot="1" x14ac:dyDescent="0.35">
      <c r="A64" s="80">
        <v>44376</v>
      </c>
      <c r="B64" s="18">
        <v>44377</v>
      </c>
      <c r="C64" s="14" t="s">
        <v>25</v>
      </c>
      <c r="D64" s="14" t="s">
        <v>23</v>
      </c>
      <c r="E64" s="14">
        <v>20</v>
      </c>
      <c r="F64" s="14">
        <v>58</v>
      </c>
      <c r="G64" s="14">
        <v>559</v>
      </c>
      <c r="H64" s="14">
        <v>2628249</v>
      </c>
      <c r="I64" s="14">
        <f t="shared" si="1"/>
        <v>1.0829505720802135</v>
      </c>
      <c r="J64" s="15">
        <f t="shared" si="2"/>
        <v>27387.747908240621</v>
      </c>
      <c r="N64" s="2"/>
      <c r="O64" s="2"/>
      <c r="P64" s="2"/>
    </row>
    <row r="65" spans="1:16" ht="17.25" thickBot="1" x14ac:dyDescent="0.35">
      <c r="A65" s="80">
        <v>44376</v>
      </c>
      <c r="B65" s="18">
        <v>44377</v>
      </c>
      <c r="C65" s="14" t="s">
        <v>25</v>
      </c>
      <c r="D65" s="14" t="s">
        <v>23</v>
      </c>
      <c r="E65" s="14">
        <v>35</v>
      </c>
      <c r="F65" s="14">
        <v>59</v>
      </c>
      <c r="G65" s="14">
        <v>483</v>
      </c>
      <c r="H65" s="14">
        <v>3927279</v>
      </c>
      <c r="I65" s="14">
        <f t="shared" si="1"/>
        <v>0.86827121227433746</v>
      </c>
      <c r="J65" s="15">
        <f t="shared" si="2"/>
        <v>41116.971365719139</v>
      </c>
      <c r="N65" s="2"/>
      <c r="O65" s="2"/>
      <c r="P65" s="2"/>
    </row>
    <row r="66" spans="1:16" x14ac:dyDescent="0.3">
      <c r="A66" s="80">
        <v>44376</v>
      </c>
      <c r="B66" s="18">
        <v>44377</v>
      </c>
      <c r="C66" s="14" t="s">
        <v>25</v>
      </c>
      <c r="D66" s="14" t="s">
        <v>23</v>
      </c>
      <c r="E66" s="14">
        <v>50</v>
      </c>
      <c r="F66" s="14">
        <v>60</v>
      </c>
      <c r="G66" s="14">
        <v>459</v>
      </c>
      <c r="H66" s="14">
        <v>4133336</v>
      </c>
      <c r="I66" s="14">
        <f t="shared" si="1"/>
        <v>0.80047773023037649</v>
      </c>
      <c r="J66" s="15">
        <f t="shared" si="2"/>
        <v>43294.752169840409</v>
      </c>
      <c r="N66" s="2"/>
      <c r="O66" s="2"/>
      <c r="P66" s="2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O62"/>
  <sheetViews>
    <sheetView topLeftCell="M1" zoomScale="70" zoomScaleNormal="70" workbookViewId="0">
      <selection activeCell="K5" sqref="K5"/>
    </sheetView>
  </sheetViews>
  <sheetFormatPr defaultRowHeight="15" x14ac:dyDescent="0.25"/>
  <cols>
    <col min="1" max="3" width="11.140625" customWidth="1"/>
    <col min="9" max="9" width="2.7109375" customWidth="1"/>
  </cols>
  <sheetData>
    <row r="1" spans="1:15" ht="33.75" thickBot="1" x14ac:dyDescent="0.35">
      <c r="A1" s="88" t="s">
        <v>1</v>
      </c>
      <c r="B1" s="89" t="s">
        <v>5</v>
      </c>
      <c r="C1" s="89" t="s">
        <v>2</v>
      </c>
      <c r="D1" s="90" t="s">
        <v>8</v>
      </c>
      <c r="E1" s="91" t="s">
        <v>9</v>
      </c>
      <c r="F1" s="91" t="s">
        <v>43</v>
      </c>
      <c r="G1" s="91" t="s">
        <v>44</v>
      </c>
      <c r="H1" s="91" t="s">
        <v>45</v>
      </c>
      <c r="I1" s="92"/>
      <c r="J1" s="93" t="s">
        <v>37</v>
      </c>
      <c r="K1" s="93" t="s">
        <v>38</v>
      </c>
      <c r="L1" s="93" t="s">
        <v>39</v>
      </c>
      <c r="M1" s="93" t="s">
        <v>40</v>
      </c>
      <c r="N1" s="93" t="s">
        <v>41</v>
      </c>
      <c r="O1" s="94" t="s">
        <v>42</v>
      </c>
    </row>
    <row r="2" spans="1:15" ht="16.5" x14ac:dyDescent="0.3">
      <c r="A2" s="87" t="s">
        <v>18</v>
      </c>
      <c r="B2" s="52" t="s">
        <v>19</v>
      </c>
      <c r="C2" s="52">
        <v>10</v>
      </c>
      <c r="D2" s="5">
        <v>1.7233499427588601</v>
      </c>
      <c r="E2" s="5">
        <v>2488.3109876116437</v>
      </c>
      <c r="F2" s="5">
        <v>19.5336842105263</v>
      </c>
      <c r="G2" s="5">
        <v>0.324277786189474</v>
      </c>
      <c r="H2" s="5">
        <v>49.294736842105301</v>
      </c>
      <c r="I2" s="5"/>
      <c r="J2" s="5">
        <f>AVERAGE(D2:D6)</f>
        <v>1.5010559484183212</v>
      </c>
      <c r="K2" s="5">
        <f>STDEV(D2:D6)</f>
        <v>0.22007073352220913</v>
      </c>
      <c r="L2" s="5">
        <f>K2/SQRT(5)</f>
        <v>9.8418624002780258E-2</v>
      </c>
      <c r="M2" s="5">
        <f>AVERAGE(E2:E6)</f>
        <v>5047.4383594083265</v>
      </c>
      <c r="N2" s="5">
        <f>STDEV(E2:E6)</f>
        <v>3305.5104027040597</v>
      </c>
      <c r="O2" s="9">
        <f>N2/SQRT(5)</f>
        <v>1478.2691921557964</v>
      </c>
    </row>
    <row r="3" spans="1:15" ht="16.5" x14ac:dyDescent="0.3">
      <c r="A3" s="85" t="s">
        <v>18</v>
      </c>
      <c r="B3" s="14" t="s">
        <v>20</v>
      </c>
      <c r="C3" s="14">
        <v>10</v>
      </c>
      <c r="D3" s="6">
        <v>1.2088532420766938</v>
      </c>
      <c r="E3" s="6">
        <v>10128.880168528787</v>
      </c>
      <c r="F3" s="6">
        <v>19.032631578947399</v>
      </c>
      <c r="G3" s="6">
        <v>0.31103275694736798</v>
      </c>
      <c r="H3" s="6">
        <v>103</v>
      </c>
      <c r="I3" s="6"/>
      <c r="J3" s="6"/>
      <c r="K3" s="6"/>
      <c r="L3" s="6"/>
      <c r="M3" s="6"/>
      <c r="N3" s="6"/>
      <c r="O3" s="11"/>
    </row>
    <row r="4" spans="1:15" ht="16.5" x14ac:dyDescent="0.3">
      <c r="A4" s="85" t="s">
        <v>18</v>
      </c>
      <c r="B4" s="14" t="s">
        <v>21</v>
      </c>
      <c r="C4" s="14">
        <v>10</v>
      </c>
      <c r="D4" s="6">
        <v>1.7154950312980635</v>
      </c>
      <c r="E4" s="6">
        <v>6198.3004148640539</v>
      </c>
      <c r="F4" s="6">
        <v>16.370833333333302</v>
      </c>
      <c r="G4" s="6">
        <v>0.38001009193750002</v>
      </c>
      <c r="H4" s="6">
        <v>171.40625</v>
      </c>
      <c r="I4" s="6"/>
      <c r="J4" s="6"/>
      <c r="K4" s="6"/>
      <c r="L4" s="6"/>
      <c r="M4" s="6"/>
      <c r="N4" s="6"/>
      <c r="O4" s="11"/>
    </row>
    <row r="5" spans="1:15" ht="16.5" x14ac:dyDescent="0.3">
      <c r="A5" s="85" t="s">
        <v>18</v>
      </c>
      <c r="B5" s="14" t="s">
        <v>22</v>
      </c>
      <c r="C5" s="14">
        <v>10</v>
      </c>
      <c r="D5" s="14">
        <v>1.39344366140541</v>
      </c>
      <c r="E5" s="14">
        <v>4488.5073598459148</v>
      </c>
      <c r="F5" s="14">
        <v>19.1458333333333</v>
      </c>
      <c r="G5" s="14">
        <v>0.327429358</v>
      </c>
      <c r="H5" s="14">
        <v>38.40625</v>
      </c>
      <c r="I5" s="6"/>
      <c r="J5" s="6"/>
      <c r="K5" s="6"/>
      <c r="L5" s="6"/>
      <c r="M5" s="6"/>
      <c r="N5" s="6"/>
      <c r="O5" s="11"/>
    </row>
    <row r="6" spans="1:15" ht="17.25" thickBot="1" x14ac:dyDescent="0.35">
      <c r="A6" s="104" t="s">
        <v>18</v>
      </c>
      <c r="B6" s="30" t="s">
        <v>23</v>
      </c>
      <c r="C6" s="30">
        <v>10</v>
      </c>
      <c r="D6" s="30">
        <v>1.464137864552578</v>
      </c>
      <c r="E6" s="30">
        <v>1933.1928661912314</v>
      </c>
      <c r="F6" s="30">
        <v>19.5136842105263</v>
      </c>
      <c r="G6" s="30">
        <v>0.32397399924210502</v>
      </c>
      <c r="H6" s="30">
        <v>45.315789473684198</v>
      </c>
      <c r="I6" s="38"/>
      <c r="J6" s="38"/>
      <c r="K6" s="38"/>
      <c r="L6" s="38"/>
      <c r="M6" s="38"/>
      <c r="N6" s="38"/>
      <c r="O6" s="105"/>
    </row>
    <row r="7" spans="1:15" ht="16.5" x14ac:dyDescent="0.3">
      <c r="A7" s="108" t="s">
        <v>18</v>
      </c>
      <c r="B7" s="109" t="s">
        <v>19</v>
      </c>
      <c r="C7" s="109">
        <v>20</v>
      </c>
      <c r="D7" s="110">
        <v>0.85341849847565543</v>
      </c>
      <c r="E7" s="110">
        <v>10128.194030013494</v>
      </c>
      <c r="F7" s="110">
        <v>19.523958333333301</v>
      </c>
      <c r="G7" s="110">
        <v>0.34713395068750003</v>
      </c>
      <c r="H7" s="110">
        <v>103.635416666667</v>
      </c>
      <c r="I7" s="110"/>
      <c r="J7" s="110">
        <f>AVERAGE(D7:D11)</f>
        <v>1.1208782337157739</v>
      </c>
      <c r="K7" s="110">
        <f>STDEV(D7:D11)</f>
        <v>0.28822816010234265</v>
      </c>
      <c r="L7" s="110">
        <f>K7/SQRT(5)</f>
        <v>0.12889955180370619</v>
      </c>
      <c r="M7" s="110">
        <f>AVERAGE(E7:E11)</f>
        <v>10285.489040266357</v>
      </c>
      <c r="N7" s="110">
        <f>STDEV(E7:E11)</f>
        <v>2330.5705818768429</v>
      </c>
      <c r="O7" s="111">
        <f>N7/SQRT(5)</f>
        <v>1042.2628494875719</v>
      </c>
    </row>
    <row r="8" spans="1:15" ht="16.5" x14ac:dyDescent="0.3">
      <c r="A8" s="95" t="s">
        <v>18</v>
      </c>
      <c r="B8" s="96" t="s">
        <v>20</v>
      </c>
      <c r="C8" s="96">
        <v>20</v>
      </c>
      <c r="D8" s="97">
        <v>1.3364955533146361</v>
      </c>
      <c r="E8" s="97">
        <v>10048.698149881702</v>
      </c>
      <c r="F8" s="97">
        <v>18.673404255319099</v>
      </c>
      <c r="G8" s="97">
        <v>0.39067664557446802</v>
      </c>
      <c r="H8" s="97">
        <v>159.68085106383</v>
      </c>
      <c r="I8" s="97"/>
      <c r="J8" s="97"/>
      <c r="K8" s="97"/>
      <c r="L8" s="97"/>
      <c r="M8" s="97"/>
      <c r="N8" s="97"/>
      <c r="O8" s="98"/>
    </row>
    <row r="9" spans="1:15" ht="16.5" x14ac:dyDescent="0.3">
      <c r="A9" s="95" t="s">
        <v>18</v>
      </c>
      <c r="B9" s="96" t="s">
        <v>21</v>
      </c>
      <c r="C9" s="96">
        <v>20</v>
      </c>
      <c r="D9" s="97">
        <v>1.5132310611825557</v>
      </c>
      <c r="E9" s="97">
        <v>10076.118040455514</v>
      </c>
      <c r="F9" s="97">
        <v>19.544210526315801</v>
      </c>
      <c r="G9" s="97">
        <v>0.38827152744210502</v>
      </c>
      <c r="H9" s="97">
        <v>98.231578947368405</v>
      </c>
      <c r="I9" s="97"/>
      <c r="J9" s="97"/>
      <c r="K9" s="97"/>
      <c r="L9" s="97"/>
      <c r="M9" s="97"/>
      <c r="N9" s="97"/>
      <c r="O9" s="98"/>
    </row>
    <row r="10" spans="1:15" ht="16.5" x14ac:dyDescent="0.3">
      <c r="A10" s="95" t="s">
        <v>18</v>
      </c>
      <c r="B10" s="96" t="s">
        <v>22</v>
      </c>
      <c r="C10" s="96">
        <v>20</v>
      </c>
      <c r="D10" s="96">
        <v>0.98498826544399565</v>
      </c>
      <c r="E10" s="96">
        <v>7314.6413667381494</v>
      </c>
      <c r="F10" s="96">
        <v>19.013541666666701</v>
      </c>
      <c r="G10" s="96">
        <v>0.30846674528125001</v>
      </c>
      <c r="H10" s="96">
        <v>28.2708333333333</v>
      </c>
      <c r="I10" s="97"/>
      <c r="J10" s="97"/>
      <c r="K10" s="97"/>
      <c r="L10" s="97"/>
      <c r="M10" s="97"/>
      <c r="N10" s="97"/>
      <c r="O10" s="98"/>
    </row>
    <row r="11" spans="1:15" ht="17.25" thickBot="1" x14ac:dyDescent="0.35">
      <c r="A11" s="100" t="s">
        <v>18</v>
      </c>
      <c r="B11" s="101" t="s">
        <v>23</v>
      </c>
      <c r="C11" s="101">
        <v>20</v>
      </c>
      <c r="D11" s="101">
        <v>0.9162577901620268</v>
      </c>
      <c r="E11" s="101">
        <v>13859.793614242924</v>
      </c>
      <c r="F11" s="101">
        <v>19.376842105263201</v>
      </c>
      <c r="G11" s="101">
        <v>0.336617416</v>
      </c>
      <c r="H11" s="101">
        <v>58</v>
      </c>
      <c r="I11" s="102"/>
      <c r="J11" s="102"/>
      <c r="K11" s="102"/>
      <c r="L11" s="102"/>
      <c r="M11" s="102"/>
      <c r="N11" s="102"/>
      <c r="O11" s="103"/>
    </row>
    <row r="12" spans="1:15" ht="16.5" x14ac:dyDescent="0.3">
      <c r="A12" s="87" t="s">
        <v>18</v>
      </c>
      <c r="B12" s="52" t="s">
        <v>19</v>
      </c>
      <c r="C12" s="52">
        <v>35</v>
      </c>
      <c r="D12" s="5">
        <v>0.35855907644548046</v>
      </c>
      <c r="E12" s="5">
        <v>16927.063627949377</v>
      </c>
      <c r="F12" s="5"/>
      <c r="G12" s="5"/>
      <c r="H12" s="5"/>
      <c r="I12" s="5"/>
      <c r="J12" s="5">
        <f>AVERAGE(D12:D16)</f>
        <v>0.82592630836286796</v>
      </c>
      <c r="K12" s="5">
        <f>STDEV(D12:D16)</f>
        <v>0.67311051537044819</v>
      </c>
      <c r="L12" s="5">
        <f>K12/SQRT(5)</f>
        <v>0.30102417374764784</v>
      </c>
      <c r="M12" s="5">
        <f>AVERAGE(E12:E16)</f>
        <v>17888.369337914435</v>
      </c>
      <c r="N12" s="5">
        <f>STDEV(E12:E16)</f>
        <v>6991.9178395000254</v>
      </c>
      <c r="O12" s="9">
        <f>N12/SQRT(5)</f>
        <v>3126.8807164431041</v>
      </c>
    </row>
    <row r="13" spans="1:15" ht="16.5" x14ac:dyDescent="0.3">
      <c r="A13" s="85" t="s">
        <v>18</v>
      </c>
      <c r="B13" s="14" t="s">
        <v>20</v>
      </c>
      <c r="C13" s="14">
        <v>35</v>
      </c>
      <c r="D13" s="6">
        <v>0.40568854521025899</v>
      </c>
      <c r="E13" s="6">
        <v>22393.695904544587</v>
      </c>
      <c r="F13" s="6"/>
      <c r="G13" s="6"/>
      <c r="H13" s="6"/>
      <c r="I13" s="6"/>
      <c r="J13" s="6"/>
      <c r="K13" s="6"/>
      <c r="L13" s="6"/>
      <c r="M13" s="6"/>
      <c r="N13" s="6"/>
      <c r="O13" s="11"/>
    </row>
    <row r="14" spans="1:15" ht="16.5" x14ac:dyDescent="0.3">
      <c r="A14" s="85" t="s">
        <v>18</v>
      </c>
      <c r="B14" s="14" t="s">
        <v>21</v>
      </c>
      <c r="C14" s="14">
        <v>35</v>
      </c>
      <c r="D14" s="6">
        <v>1.5426869791605422</v>
      </c>
      <c r="E14" s="6">
        <v>14669.077961758654</v>
      </c>
      <c r="F14" s="6"/>
      <c r="G14" s="6"/>
      <c r="H14" s="6"/>
      <c r="I14" s="6"/>
      <c r="J14" s="6"/>
      <c r="K14" s="6"/>
      <c r="L14" s="6"/>
      <c r="M14" s="6"/>
      <c r="N14" s="6"/>
      <c r="O14" s="11"/>
    </row>
    <row r="15" spans="1:15" ht="16.5" x14ac:dyDescent="0.3">
      <c r="A15" s="85" t="s">
        <v>18</v>
      </c>
      <c r="B15" s="14" t="s">
        <v>22</v>
      </c>
      <c r="C15" s="14">
        <v>35</v>
      </c>
      <c r="D15" s="14">
        <v>1.5780340807341262</v>
      </c>
      <c r="E15" s="14">
        <v>8673.1315019256817</v>
      </c>
      <c r="F15" s="14">
        <v>18.566666666666698</v>
      </c>
      <c r="G15" s="14">
        <v>0.36569324310526302</v>
      </c>
      <c r="H15" s="14">
        <v>49.947368421052602</v>
      </c>
      <c r="I15" s="6"/>
      <c r="J15" s="6"/>
      <c r="K15" s="6"/>
      <c r="L15" s="6"/>
      <c r="M15" s="6"/>
      <c r="N15" s="6"/>
      <c r="O15" s="11"/>
    </row>
    <row r="16" spans="1:15" ht="17.25" thickBot="1" x14ac:dyDescent="0.35">
      <c r="A16" s="104" t="s">
        <v>18</v>
      </c>
      <c r="B16" s="30" t="s">
        <v>23</v>
      </c>
      <c r="C16" s="30">
        <v>35</v>
      </c>
      <c r="D16" s="30">
        <v>0.24466286026393225</v>
      </c>
      <c r="E16" s="30">
        <v>26778.877693393886</v>
      </c>
      <c r="F16" s="30">
        <v>18.9389473684211</v>
      </c>
      <c r="G16" s="30">
        <v>0.285441687336842</v>
      </c>
      <c r="H16" s="30">
        <v>25.9578947368421</v>
      </c>
      <c r="I16" s="38"/>
      <c r="J16" s="38"/>
      <c r="K16" s="38"/>
      <c r="L16" s="38"/>
      <c r="M16" s="38"/>
      <c r="N16" s="38"/>
      <c r="O16" s="105"/>
    </row>
    <row r="17" spans="1:15" ht="16.5" x14ac:dyDescent="0.3">
      <c r="A17" s="108" t="s">
        <v>18</v>
      </c>
      <c r="B17" s="109" t="s">
        <v>19</v>
      </c>
      <c r="C17" s="109">
        <v>50</v>
      </c>
      <c r="D17" s="110">
        <v>0.6649006234165411</v>
      </c>
      <c r="E17" s="110">
        <v>13630.200124508421</v>
      </c>
      <c r="F17" s="110"/>
      <c r="G17" s="110"/>
      <c r="H17" s="110"/>
      <c r="I17" s="110"/>
      <c r="J17" s="110">
        <f>AVERAGE(D17:D21)</f>
        <v>0.78193880418240791</v>
      </c>
      <c r="K17" s="110">
        <f>STDEV(D17:D21)</f>
        <v>0.49137478359706954</v>
      </c>
      <c r="L17" s="110">
        <f>K17/SQRT(5)</f>
        <v>0.21974948371045921</v>
      </c>
      <c r="M17" s="110">
        <f>AVERAGE(E17:E21)</f>
        <v>14348.928295526199</v>
      </c>
      <c r="N17" s="110">
        <f>STDEV(E17:E21)</f>
        <v>6551.5657545910744</v>
      </c>
      <c r="O17" s="111">
        <f>N17/SQRT(5)</f>
        <v>2929.9492772650692</v>
      </c>
    </row>
    <row r="18" spans="1:15" ht="16.5" x14ac:dyDescent="0.3">
      <c r="A18" s="95" t="s">
        <v>18</v>
      </c>
      <c r="B18" s="96" t="s">
        <v>20</v>
      </c>
      <c r="C18" s="96">
        <v>50</v>
      </c>
      <c r="D18" s="97">
        <v>0.53725831217859921</v>
      </c>
      <c r="E18" s="97">
        <v>17063.258916980521</v>
      </c>
      <c r="F18" s="97"/>
      <c r="G18" s="97"/>
      <c r="H18" s="97"/>
      <c r="I18" s="97"/>
      <c r="J18" s="97"/>
      <c r="K18" s="97"/>
      <c r="L18" s="97"/>
      <c r="M18" s="97"/>
      <c r="N18" s="97"/>
      <c r="O18" s="98"/>
    </row>
    <row r="19" spans="1:15" ht="16.5" x14ac:dyDescent="0.3">
      <c r="A19" s="95" t="s">
        <v>18</v>
      </c>
      <c r="B19" s="96" t="s">
        <v>21</v>
      </c>
      <c r="C19" s="96">
        <v>50</v>
      </c>
      <c r="D19" s="97">
        <v>0.72184873150731521</v>
      </c>
      <c r="E19" s="97">
        <v>12342.273243734879</v>
      </c>
      <c r="F19" s="97"/>
      <c r="G19" s="97"/>
      <c r="H19" s="97"/>
      <c r="I19" s="97"/>
      <c r="J19" s="97"/>
      <c r="K19" s="97"/>
      <c r="L19" s="97"/>
      <c r="M19" s="97"/>
      <c r="N19" s="97"/>
      <c r="O19" s="98"/>
    </row>
    <row r="20" spans="1:15" ht="16.5" x14ac:dyDescent="0.3">
      <c r="A20" s="95" t="s">
        <v>18</v>
      </c>
      <c r="B20" s="96" t="s">
        <v>22</v>
      </c>
      <c r="C20" s="96">
        <v>50</v>
      </c>
      <c r="D20" s="96">
        <v>1.6251635494989047</v>
      </c>
      <c r="E20" s="96">
        <v>5416.301295222871</v>
      </c>
      <c r="F20" s="96"/>
      <c r="G20" s="96"/>
      <c r="H20" s="96"/>
      <c r="I20" s="97"/>
      <c r="J20" s="97"/>
      <c r="K20" s="97"/>
      <c r="L20" s="97"/>
      <c r="M20" s="97"/>
      <c r="N20" s="97"/>
      <c r="O20" s="98"/>
    </row>
    <row r="21" spans="1:15" ht="17.25" thickBot="1" x14ac:dyDescent="0.35">
      <c r="A21" s="100" t="s">
        <v>18</v>
      </c>
      <c r="B21" s="101" t="s">
        <v>23</v>
      </c>
      <c r="C21" s="101">
        <v>50</v>
      </c>
      <c r="D21" s="101">
        <v>0.3605228043106794</v>
      </c>
      <c r="E21" s="101">
        <v>23292.607897184302</v>
      </c>
      <c r="F21" s="101"/>
      <c r="G21" s="101"/>
      <c r="H21" s="101"/>
      <c r="I21" s="102"/>
      <c r="J21" s="102"/>
      <c r="K21" s="102"/>
      <c r="L21" s="102"/>
      <c r="M21" s="102"/>
      <c r="N21" s="102"/>
      <c r="O21" s="103"/>
    </row>
    <row r="22" spans="1:15" ht="16.5" x14ac:dyDescent="0.3">
      <c r="A22" s="107" t="s">
        <v>24</v>
      </c>
      <c r="B22" s="52" t="s">
        <v>19</v>
      </c>
      <c r="C22" s="52">
        <v>10</v>
      </c>
      <c r="D22" s="52">
        <v>0.45674546970543584</v>
      </c>
      <c r="E22" s="52">
        <v>17353.258246098863</v>
      </c>
      <c r="F22" s="52"/>
      <c r="G22" s="52"/>
      <c r="H22" s="52"/>
      <c r="I22" s="5"/>
      <c r="J22" s="5">
        <f>AVERAGE(D22:D26)</f>
        <v>1.1684004480535923</v>
      </c>
      <c r="K22" s="5">
        <f>STDEV(D22:D26)</f>
        <v>0.47621028310075142</v>
      </c>
      <c r="L22" s="5">
        <f>K22/SQRT(5)</f>
        <v>0.21296771291953989</v>
      </c>
      <c r="M22" s="5">
        <f>AVERAGE(E22:E26)</f>
        <v>14060.650083954632</v>
      </c>
      <c r="N22" s="5">
        <f>STDEV(E22:E26)</f>
        <v>4750.7424533546509</v>
      </c>
      <c r="O22" s="9">
        <f>N22/SQRT(5)</f>
        <v>2124.5966138590247</v>
      </c>
    </row>
    <row r="23" spans="1:15" ht="16.5" x14ac:dyDescent="0.3">
      <c r="A23" s="86" t="s">
        <v>24</v>
      </c>
      <c r="B23" s="14" t="s">
        <v>20</v>
      </c>
      <c r="C23" s="14">
        <v>10</v>
      </c>
      <c r="D23" s="6">
        <v>1.523049700508551</v>
      </c>
      <c r="E23" s="6">
        <v>13254.080792956429</v>
      </c>
      <c r="F23" s="6">
        <v>19.356989247311802</v>
      </c>
      <c r="G23" s="6">
        <v>0.331728457870968</v>
      </c>
      <c r="H23" s="6">
        <v>85.075268817204304</v>
      </c>
      <c r="I23" s="6"/>
      <c r="J23" s="6"/>
      <c r="K23" s="6"/>
      <c r="L23" s="6"/>
      <c r="M23" s="6"/>
      <c r="N23" s="6"/>
      <c r="O23" s="11"/>
    </row>
    <row r="24" spans="1:15" ht="16.5" x14ac:dyDescent="0.3">
      <c r="A24" s="86" t="s">
        <v>24</v>
      </c>
      <c r="B24" s="14" t="s">
        <v>21</v>
      </c>
      <c r="C24" s="14">
        <v>10</v>
      </c>
      <c r="D24" s="6">
        <v>1.428790762978994</v>
      </c>
      <c r="E24" s="6">
        <v>9704.5451781310312</v>
      </c>
      <c r="F24" s="6">
        <v>19.778723404255299</v>
      </c>
      <c r="G24" s="6">
        <v>0.37211204043617002</v>
      </c>
      <c r="H24" s="6">
        <v>86.2340425531915</v>
      </c>
      <c r="I24" s="6"/>
      <c r="J24" s="6"/>
      <c r="K24" s="6"/>
      <c r="L24" s="6"/>
      <c r="M24" s="6"/>
      <c r="N24" s="6"/>
      <c r="O24" s="11"/>
    </row>
    <row r="25" spans="1:15" ht="16.5" x14ac:dyDescent="0.3">
      <c r="A25" s="86" t="s">
        <v>24</v>
      </c>
      <c r="B25" s="14" t="s">
        <v>22</v>
      </c>
      <c r="C25" s="14">
        <v>10</v>
      </c>
      <c r="D25" s="6">
        <v>1.5348320676997456</v>
      </c>
      <c r="E25" s="6">
        <v>9607.6329222278491</v>
      </c>
      <c r="F25" s="6">
        <v>19.455208333333299</v>
      </c>
      <c r="G25" s="6">
        <v>0.3806026091875</v>
      </c>
      <c r="H25" s="6">
        <v>58.5104166666667</v>
      </c>
      <c r="I25" s="6"/>
      <c r="J25" s="6"/>
      <c r="K25" s="6"/>
      <c r="L25" s="6"/>
      <c r="M25" s="6"/>
      <c r="N25" s="6"/>
      <c r="O25" s="11"/>
    </row>
    <row r="26" spans="1:15" ht="17.25" thickBot="1" x14ac:dyDescent="0.35">
      <c r="A26" s="106" t="s">
        <v>24</v>
      </c>
      <c r="B26" s="30" t="s">
        <v>23</v>
      </c>
      <c r="C26" s="30">
        <v>10</v>
      </c>
      <c r="D26" s="38">
        <v>0.89858423937523502</v>
      </c>
      <c r="E26" s="38">
        <v>20383.733280358982</v>
      </c>
      <c r="F26" s="38">
        <v>19.414583333333301</v>
      </c>
      <c r="G26" s="38">
        <v>0.37718298784374998</v>
      </c>
      <c r="H26" s="38">
        <v>106.260416666667</v>
      </c>
      <c r="I26" s="38"/>
      <c r="J26" s="38"/>
      <c r="K26" s="38"/>
      <c r="L26" s="38"/>
      <c r="M26" s="38"/>
      <c r="N26" s="38"/>
      <c r="O26" s="105"/>
    </row>
    <row r="27" spans="1:15" ht="16.5" x14ac:dyDescent="0.3">
      <c r="A27" s="112" t="s">
        <v>24</v>
      </c>
      <c r="B27" s="109" t="s">
        <v>19</v>
      </c>
      <c r="C27" s="109">
        <v>20</v>
      </c>
      <c r="D27" s="109">
        <v>0.89662051151003586</v>
      </c>
      <c r="E27" s="109">
        <v>15938.472690109767</v>
      </c>
      <c r="F27" s="109">
        <v>19.397894736842101</v>
      </c>
      <c r="G27" s="109">
        <v>0.35260824643157901</v>
      </c>
      <c r="H27" s="109">
        <v>122.67368421052601</v>
      </c>
      <c r="I27" s="110"/>
      <c r="J27" s="110">
        <f>AVERAGE(D27:D31)</f>
        <v>1.0490057938494863</v>
      </c>
      <c r="K27" s="110">
        <f>STDEV(D27:D31)</f>
        <v>0.82766948046545308</v>
      </c>
      <c r="L27" s="110">
        <f>K27/SQRT(5)</f>
        <v>0.37014504424453748</v>
      </c>
      <c r="M27" s="110">
        <f>AVERAGE(E27:E31)</f>
        <v>24773.907849096206</v>
      </c>
      <c r="N27" s="110">
        <f>STDEV(E27:E31)</f>
        <v>10927.81241351085</v>
      </c>
      <c r="O27" s="111">
        <f>N27/SQRT(5)</f>
        <v>4887.06628039526</v>
      </c>
    </row>
    <row r="28" spans="1:15" ht="16.5" x14ac:dyDescent="0.3">
      <c r="A28" s="99" t="s">
        <v>24</v>
      </c>
      <c r="B28" s="96" t="s">
        <v>20</v>
      </c>
      <c r="C28" s="96">
        <v>20</v>
      </c>
      <c r="D28" s="97">
        <v>0.70810263645092153</v>
      </c>
      <c r="E28" s="97">
        <v>32293.962891685947</v>
      </c>
      <c r="F28" s="97">
        <v>19.125</v>
      </c>
      <c r="G28" s="97">
        <v>0.32396545140624999</v>
      </c>
      <c r="H28" s="97">
        <v>73.2916666666667</v>
      </c>
      <c r="I28" s="97"/>
      <c r="J28" s="97"/>
      <c r="K28" s="97"/>
      <c r="L28" s="97"/>
      <c r="M28" s="97"/>
      <c r="N28" s="97"/>
      <c r="O28" s="98"/>
    </row>
    <row r="29" spans="1:15" ht="16.5" x14ac:dyDescent="0.3">
      <c r="A29" s="99" t="s">
        <v>24</v>
      </c>
      <c r="B29" s="96" t="s">
        <v>21</v>
      </c>
      <c r="C29" s="96">
        <v>20</v>
      </c>
      <c r="D29" s="97">
        <v>1.1931434191551009</v>
      </c>
      <c r="E29" s="97">
        <v>12551.474953295219</v>
      </c>
      <c r="F29" s="97">
        <v>19.757291666666699</v>
      </c>
      <c r="G29" s="97">
        <v>0.31386526271874998</v>
      </c>
      <c r="H29" s="97">
        <v>95.4791666666667</v>
      </c>
      <c r="I29" s="97"/>
      <c r="J29" s="97"/>
      <c r="K29" s="97"/>
      <c r="L29" s="97"/>
      <c r="M29" s="97"/>
      <c r="N29" s="97"/>
      <c r="O29" s="98"/>
    </row>
    <row r="30" spans="1:15" ht="16.5" x14ac:dyDescent="0.3">
      <c r="A30" s="99" t="s">
        <v>24</v>
      </c>
      <c r="B30" s="96" t="s">
        <v>22</v>
      </c>
      <c r="C30" s="96">
        <v>20</v>
      </c>
      <c r="D30" s="97">
        <v>2.3458516760269772</v>
      </c>
      <c r="E30" s="97">
        <v>24400.40097390992</v>
      </c>
      <c r="F30" s="97">
        <v>19.282291666666701</v>
      </c>
      <c r="G30" s="97">
        <v>0.30183135212500001</v>
      </c>
      <c r="H30" s="97">
        <v>62.8333333333333</v>
      </c>
      <c r="I30" s="97"/>
      <c r="J30" s="97"/>
      <c r="K30" s="97"/>
      <c r="L30" s="97"/>
      <c r="M30" s="97"/>
      <c r="N30" s="97"/>
      <c r="O30" s="98"/>
    </row>
    <row r="31" spans="1:15" ht="17.25" thickBot="1" x14ac:dyDescent="0.35">
      <c r="A31" s="113" t="s">
        <v>24</v>
      </c>
      <c r="B31" s="101" t="s">
        <v>23</v>
      </c>
      <c r="C31" s="101">
        <v>20</v>
      </c>
      <c r="D31" s="102">
        <v>0.10131072610439729</v>
      </c>
      <c r="E31" s="102">
        <v>38685.22773648017</v>
      </c>
      <c r="F31" s="102">
        <v>19.205319148936201</v>
      </c>
      <c r="G31" s="102">
        <v>0.36448704061702097</v>
      </c>
      <c r="H31" s="102">
        <v>92.2659574468085</v>
      </c>
      <c r="I31" s="102"/>
      <c r="J31" s="102"/>
      <c r="K31" s="102"/>
      <c r="L31" s="102"/>
      <c r="M31" s="102"/>
      <c r="N31" s="102"/>
      <c r="O31" s="103"/>
    </row>
    <row r="32" spans="1:15" ht="16.5" x14ac:dyDescent="0.3">
      <c r="A32" s="107" t="s">
        <v>24</v>
      </c>
      <c r="B32" s="52" t="s">
        <v>19</v>
      </c>
      <c r="C32" s="52">
        <v>35</v>
      </c>
      <c r="D32" s="52">
        <v>0.64526334476455016</v>
      </c>
      <c r="E32" s="52">
        <v>18081.74497405659</v>
      </c>
      <c r="F32" s="52"/>
      <c r="G32" s="52"/>
      <c r="H32" s="52"/>
      <c r="I32" s="5"/>
      <c r="J32" s="5">
        <f>AVERAGE(D32:D36)</f>
        <v>0.7634797622495364</v>
      </c>
      <c r="K32" s="5">
        <f>STDEV(D32:D36)</f>
        <v>0.5312916456291068</v>
      </c>
      <c r="L32" s="5">
        <f>K32/SQRT(5)</f>
        <v>0.23760084710088236</v>
      </c>
      <c r="M32" s="5">
        <f>AVERAGE(E32:E36)</f>
        <v>19954.528630255481</v>
      </c>
      <c r="N32" s="5">
        <f>STDEV(E32:E36)</f>
        <v>10455.504908585661</v>
      </c>
      <c r="O32" s="9">
        <f>N32/SQRT(5)</f>
        <v>4675.8439429360524</v>
      </c>
    </row>
    <row r="33" spans="1:15" ht="16.5" x14ac:dyDescent="0.3">
      <c r="A33" s="86" t="s">
        <v>24</v>
      </c>
      <c r="B33" s="14" t="s">
        <v>20</v>
      </c>
      <c r="C33" s="14">
        <v>35</v>
      </c>
      <c r="D33" s="6">
        <v>0.24466286026393225</v>
      </c>
      <c r="E33" s="6">
        <v>38047.631918015708</v>
      </c>
      <c r="F33" s="6">
        <v>18.553684210526299</v>
      </c>
      <c r="G33" s="6">
        <v>0.24129584995789499</v>
      </c>
      <c r="H33" s="6">
        <v>53.894736842105303</v>
      </c>
      <c r="I33" s="6"/>
      <c r="J33" s="6"/>
      <c r="K33" s="6"/>
      <c r="L33" s="6"/>
      <c r="M33" s="6"/>
      <c r="N33" s="6"/>
      <c r="O33" s="11"/>
    </row>
    <row r="34" spans="1:15" ht="16.5" x14ac:dyDescent="0.3">
      <c r="A34" s="86" t="s">
        <v>24</v>
      </c>
      <c r="B34" s="14" t="s">
        <v>21</v>
      </c>
      <c r="C34" s="14">
        <v>35</v>
      </c>
      <c r="D34" s="6">
        <v>0.29768351262430803</v>
      </c>
      <c r="E34" s="6">
        <v>15794.531089616235</v>
      </c>
      <c r="F34" s="6">
        <v>17.181249999999999</v>
      </c>
      <c r="G34" s="6">
        <v>0.36608108781249998</v>
      </c>
      <c r="H34" s="6">
        <v>152.270833333333</v>
      </c>
      <c r="I34" s="6"/>
      <c r="J34" s="6"/>
      <c r="K34" s="6"/>
      <c r="L34" s="6"/>
      <c r="M34" s="6"/>
      <c r="N34" s="6"/>
      <c r="O34" s="11"/>
    </row>
    <row r="35" spans="1:15" ht="16.5" x14ac:dyDescent="0.3">
      <c r="A35" s="86" t="s">
        <v>24</v>
      </c>
      <c r="B35" s="14" t="s">
        <v>22</v>
      </c>
      <c r="C35" s="14">
        <v>35</v>
      </c>
      <c r="D35" s="6">
        <v>1.4170083957877995</v>
      </c>
      <c r="E35" s="6">
        <v>16785.430530871789</v>
      </c>
      <c r="F35" s="6">
        <v>18.655208333333299</v>
      </c>
      <c r="G35" s="6">
        <v>0.37010575234374998</v>
      </c>
      <c r="H35" s="6">
        <v>115.552083333333</v>
      </c>
      <c r="I35" s="6"/>
      <c r="J35" s="6"/>
      <c r="K35" s="6"/>
      <c r="L35" s="6"/>
      <c r="M35" s="6"/>
      <c r="N35" s="6"/>
      <c r="O35" s="11"/>
    </row>
    <row r="36" spans="1:15" ht="17.25" thickBot="1" x14ac:dyDescent="0.35">
      <c r="A36" s="106" t="s">
        <v>24</v>
      </c>
      <c r="B36" s="30" t="s">
        <v>23</v>
      </c>
      <c r="C36" s="30">
        <v>35</v>
      </c>
      <c r="D36" s="38">
        <v>1.2127806978070921</v>
      </c>
      <c r="E36" s="38">
        <v>11063.304638717091</v>
      </c>
      <c r="F36" s="38">
        <v>18.7406779661017</v>
      </c>
      <c r="G36" s="38">
        <v>0.37600622840678</v>
      </c>
      <c r="H36" s="38">
        <v>64.966101694915295</v>
      </c>
      <c r="I36" s="38"/>
      <c r="J36" s="38"/>
      <c r="K36" s="38"/>
      <c r="L36" s="38"/>
      <c r="M36" s="38"/>
      <c r="N36" s="38"/>
      <c r="O36" s="105"/>
    </row>
    <row r="37" spans="1:15" ht="16.5" x14ac:dyDescent="0.3">
      <c r="A37" s="112" t="s">
        <v>24</v>
      </c>
      <c r="B37" s="109" t="s">
        <v>19</v>
      </c>
      <c r="C37" s="109">
        <v>50</v>
      </c>
      <c r="D37" s="109">
        <v>0.28000996183751603</v>
      </c>
      <c r="E37" s="109">
        <v>22254.384135901921</v>
      </c>
      <c r="F37" s="109"/>
      <c r="G37" s="109"/>
      <c r="H37" s="109"/>
      <c r="I37" s="110"/>
      <c r="J37" s="110">
        <f>AVERAGE(D37:D41)</f>
        <v>0.44417761136816142</v>
      </c>
      <c r="K37" s="110">
        <f>STDEV(D37:D41)</f>
        <v>0.19086384266821038</v>
      </c>
      <c r="L37" s="110">
        <f>K37/SQRT(5)</f>
        <v>8.535690533058865E-2</v>
      </c>
      <c r="M37" s="110">
        <f>AVERAGE(E37:E41)</f>
        <v>25164.291166754927</v>
      </c>
      <c r="N37" s="110">
        <f>STDEV(E37:E41)</f>
        <v>5097.500054413691</v>
      </c>
      <c r="O37" s="111">
        <f>N37/SQRT(5)</f>
        <v>2279.6713273955779</v>
      </c>
    </row>
    <row r="38" spans="1:15" ht="16.5" x14ac:dyDescent="0.3">
      <c r="A38" s="99" t="s">
        <v>24</v>
      </c>
      <c r="B38" s="96" t="s">
        <v>20</v>
      </c>
      <c r="C38" s="96">
        <v>50</v>
      </c>
      <c r="D38" s="97">
        <v>0.77486938386769122</v>
      </c>
      <c r="E38" s="97">
        <v>20643.080814121193</v>
      </c>
      <c r="F38" s="97"/>
      <c r="G38" s="97"/>
      <c r="H38" s="97"/>
      <c r="I38" s="97"/>
      <c r="J38" s="97"/>
      <c r="K38" s="97"/>
      <c r="L38" s="97"/>
      <c r="M38" s="97"/>
      <c r="N38" s="97"/>
      <c r="O38" s="98"/>
    </row>
    <row r="39" spans="1:15" ht="16.5" x14ac:dyDescent="0.3">
      <c r="A39" s="99" t="s">
        <v>24</v>
      </c>
      <c r="B39" s="96" t="s">
        <v>21</v>
      </c>
      <c r="C39" s="96">
        <v>50</v>
      </c>
      <c r="D39" s="97">
        <v>0.39390617801906425</v>
      </c>
      <c r="E39" s="97">
        <v>21753.188806772243</v>
      </c>
      <c r="F39" s="97"/>
      <c r="G39" s="97"/>
      <c r="H39" s="97"/>
      <c r="I39" s="97"/>
      <c r="J39" s="97"/>
      <c r="K39" s="97"/>
      <c r="L39" s="97"/>
      <c r="M39" s="97"/>
      <c r="N39" s="97"/>
      <c r="O39" s="98"/>
    </row>
    <row r="40" spans="1:15" ht="16.5" x14ac:dyDescent="0.3">
      <c r="A40" s="99" t="s">
        <v>24</v>
      </c>
      <c r="B40" s="96" t="s">
        <v>22</v>
      </c>
      <c r="C40" s="96">
        <v>50</v>
      </c>
      <c r="D40" s="97">
        <v>0.3781963550974714</v>
      </c>
      <c r="E40" s="97">
        <v>29066.085165324752</v>
      </c>
      <c r="F40" s="97"/>
      <c r="G40" s="97"/>
      <c r="H40" s="97"/>
      <c r="I40" s="97"/>
      <c r="J40" s="97"/>
      <c r="K40" s="97"/>
      <c r="L40" s="97"/>
      <c r="M40" s="97"/>
      <c r="N40" s="97"/>
      <c r="O40" s="98"/>
    </row>
    <row r="41" spans="1:15" ht="17.25" thickBot="1" x14ac:dyDescent="0.35">
      <c r="A41" s="113" t="s">
        <v>24</v>
      </c>
      <c r="B41" s="101" t="s">
        <v>23</v>
      </c>
      <c r="C41" s="101">
        <v>50</v>
      </c>
      <c r="D41" s="102">
        <v>0.39390617801906425</v>
      </c>
      <c r="E41" s="102">
        <v>32104.716911654534</v>
      </c>
      <c r="F41" s="102"/>
      <c r="G41" s="102"/>
      <c r="H41" s="102"/>
      <c r="I41" s="102"/>
      <c r="J41" s="102"/>
      <c r="K41" s="102"/>
      <c r="L41" s="102"/>
      <c r="M41" s="102"/>
      <c r="N41" s="102"/>
      <c r="O41" s="103"/>
    </row>
    <row r="42" spans="1:15" ht="16.5" x14ac:dyDescent="0.3">
      <c r="A42" s="87" t="s">
        <v>25</v>
      </c>
      <c r="B42" s="52" t="s">
        <v>19</v>
      </c>
      <c r="C42" s="52">
        <v>10</v>
      </c>
      <c r="D42" s="5">
        <v>1.5603605299473342</v>
      </c>
      <c r="E42" s="5">
        <v>2092.0307262270831</v>
      </c>
      <c r="F42" s="5">
        <v>19.844791666666701</v>
      </c>
      <c r="G42" s="5">
        <v>0.35156591021875</v>
      </c>
      <c r="H42" s="5">
        <v>49.25</v>
      </c>
      <c r="I42" s="5"/>
      <c r="J42" s="5">
        <f>AVERAGE(D42:D46)</f>
        <v>1.2551972196953929</v>
      </c>
      <c r="K42" s="5">
        <f>STDEV(D42:D46)</f>
        <v>0.34164237366259448</v>
      </c>
      <c r="L42" s="5">
        <f>K42/SQRT(5)</f>
        <v>0.15278711430078901</v>
      </c>
      <c r="M42" s="5">
        <f>AVERAGE(E42:E46)</f>
        <v>9115.7754894156606</v>
      </c>
      <c r="N42" s="5">
        <f>STDEV(E42:E46)</f>
        <v>7888.4678587646231</v>
      </c>
      <c r="O42" s="9">
        <f>N42/SQRT(5)</f>
        <v>3527.8300741039811</v>
      </c>
    </row>
    <row r="43" spans="1:15" ht="16.5" x14ac:dyDescent="0.3">
      <c r="A43" s="85" t="s">
        <v>25</v>
      </c>
      <c r="B43" s="14" t="s">
        <v>20</v>
      </c>
      <c r="C43" s="14">
        <v>10</v>
      </c>
      <c r="D43" s="6">
        <v>1.5112673333173565</v>
      </c>
      <c r="E43" s="6">
        <v>5299.4140722622942</v>
      </c>
      <c r="F43" s="6">
        <v>19.556249999999999</v>
      </c>
      <c r="G43" s="6">
        <v>0.35259226937499999</v>
      </c>
      <c r="H43" s="6">
        <v>65.6875</v>
      </c>
      <c r="I43" s="6"/>
      <c r="J43" s="6"/>
      <c r="K43" s="6"/>
      <c r="L43" s="6"/>
      <c r="M43" s="6"/>
      <c r="N43" s="6"/>
      <c r="O43" s="11"/>
    </row>
    <row r="44" spans="1:15" ht="16.5" x14ac:dyDescent="0.3">
      <c r="A44" s="85" t="s">
        <v>25</v>
      </c>
      <c r="B44" s="14" t="s">
        <v>21</v>
      </c>
      <c r="C44" s="14">
        <v>10</v>
      </c>
      <c r="D44" s="6">
        <v>1.2618738944370698</v>
      </c>
      <c r="E44" s="6">
        <v>9047.4745683492947</v>
      </c>
      <c r="F44" s="6">
        <v>19.546875</v>
      </c>
      <c r="G44" s="6">
        <v>0.37537618196875</v>
      </c>
      <c r="H44" s="6">
        <v>132.822916666667</v>
      </c>
      <c r="I44" s="6"/>
      <c r="J44" s="6"/>
      <c r="K44" s="6"/>
      <c r="L44" s="6"/>
      <c r="M44" s="6"/>
      <c r="N44" s="6"/>
      <c r="O44" s="11"/>
    </row>
    <row r="45" spans="1:15" ht="16.5" x14ac:dyDescent="0.3">
      <c r="A45" s="85" t="s">
        <v>25</v>
      </c>
      <c r="B45" s="14" t="s">
        <v>22</v>
      </c>
      <c r="C45" s="14">
        <v>10</v>
      </c>
      <c r="D45" s="6">
        <v>1.2422366157850786</v>
      </c>
      <c r="E45" s="6">
        <v>6648.0866554225795</v>
      </c>
      <c r="F45" s="6">
        <v>19.345833333333299</v>
      </c>
      <c r="G45" s="6">
        <v>0.32291767693750001</v>
      </c>
      <c r="H45" s="6">
        <v>45.0416666666667</v>
      </c>
      <c r="I45" s="6"/>
      <c r="J45" s="6"/>
      <c r="K45" s="6"/>
      <c r="L45" s="6"/>
      <c r="M45" s="6"/>
      <c r="N45" s="6"/>
      <c r="O45" s="11"/>
    </row>
    <row r="46" spans="1:15" ht="17.25" thickBot="1" x14ac:dyDescent="0.35">
      <c r="A46" s="104" t="s">
        <v>25</v>
      </c>
      <c r="B46" s="30" t="s">
        <v>23</v>
      </c>
      <c r="C46" s="30">
        <v>10</v>
      </c>
      <c r="D46" s="38">
        <v>0.70024772499012511</v>
      </c>
      <c r="E46" s="38">
        <v>22491.871424817051</v>
      </c>
      <c r="F46" s="38">
        <v>19.568750000000001</v>
      </c>
      <c r="G46" s="38">
        <v>0.36373623231250002</v>
      </c>
      <c r="H46" s="38">
        <v>89.1979166666667</v>
      </c>
      <c r="I46" s="38"/>
      <c r="J46" s="38"/>
      <c r="K46" s="38"/>
      <c r="L46" s="38"/>
      <c r="M46" s="38"/>
      <c r="N46" s="38"/>
      <c r="O46" s="105"/>
    </row>
    <row r="47" spans="1:15" ht="16.5" x14ac:dyDescent="0.3">
      <c r="A47" s="108" t="s">
        <v>25</v>
      </c>
      <c r="B47" s="109" t="s">
        <v>19</v>
      </c>
      <c r="C47" s="109">
        <v>20</v>
      </c>
      <c r="D47" s="110">
        <v>0.15629510632997223</v>
      </c>
      <c r="E47" s="110">
        <v>21675.398654164455</v>
      </c>
      <c r="F47" s="110">
        <v>19.582291666666698</v>
      </c>
      <c r="G47" s="110">
        <v>0.26279301531249999</v>
      </c>
      <c r="H47" s="110">
        <v>31.8645833333333</v>
      </c>
      <c r="I47" s="110"/>
      <c r="J47" s="110">
        <f>AVERAGE(D47:D51)</f>
        <v>0.32321197487189646</v>
      </c>
      <c r="K47" s="110">
        <f>STDEV(D47:D51)</f>
        <v>0.27357907876555587</v>
      </c>
      <c r="L47" s="110">
        <f>K47/SQRT(5)</f>
        <v>0.12234828346831043</v>
      </c>
      <c r="M47" s="110">
        <f>AVERAGE(E47:E51)</f>
        <v>25344.00687518419</v>
      </c>
      <c r="N47" s="110">
        <f>STDEV(E47:E51)</f>
        <v>7354.8554475133596</v>
      </c>
      <c r="O47" s="111">
        <f>N47/SQRT(5)</f>
        <v>3289.1913490649017</v>
      </c>
    </row>
    <row r="48" spans="1:15" ht="16.5" x14ac:dyDescent="0.3">
      <c r="A48" s="95" t="s">
        <v>25</v>
      </c>
      <c r="B48" s="96" t="s">
        <v>20</v>
      </c>
      <c r="C48" s="96">
        <v>20</v>
      </c>
      <c r="D48" s="97">
        <v>0.6472270726297491</v>
      </c>
      <c r="E48" s="97">
        <v>16266.126274945935</v>
      </c>
      <c r="F48" s="97">
        <v>19.268750000000001</v>
      </c>
      <c r="G48" s="97">
        <v>0.28644028825000001</v>
      </c>
      <c r="H48" s="97">
        <v>48.6979166666667</v>
      </c>
      <c r="I48" s="97"/>
      <c r="J48" s="97"/>
      <c r="K48" s="97"/>
      <c r="L48" s="97"/>
      <c r="M48" s="97"/>
      <c r="N48" s="97"/>
      <c r="O48" s="98"/>
    </row>
    <row r="49" spans="1:15" ht="16.5" x14ac:dyDescent="0.3">
      <c r="A49" s="95" t="s">
        <v>25</v>
      </c>
      <c r="B49" s="96" t="s">
        <v>21</v>
      </c>
      <c r="C49" s="96">
        <v>20</v>
      </c>
      <c r="D49" s="97">
        <v>0.58438778094337773</v>
      </c>
      <c r="E49" s="97">
        <v>28082.104821807541</v>
      </c>
      <c r="F49" s="97">
        <v>19.469791666666701</v>
      </c>
      <c r="G49" s="97">
        <v>0.35986123253125002</v>
      </c>
      <c r="H49" s="97">
        <v>83.1354166666667</v>
      </c>
      <c r="I49" s="97"/>
      <c r="J49" s="97"/>
      <c r="K49" s="97"/>
      <c r="L49" s="97"/>
      <c r="M49" s="97"/>
      <c r="N49" s="97"/>
      <c r="O49" s="98"/>
    </row>
    <row r="50" spans="1:15" ht="16.5" x14ac:dyDescent="0.3">
      <c r="A50" s="95" t="s">
        <v>25</v>
      </c>
      <c r="B50" s="96" t="s">
        <v>22</v>
      </c>
      <c r="C50" s="96">
        <v>20</v>
      </c>
      <c r="D50" s="97">
        <v>4.0435162283225079E-2</v>
      </c>
      <c r="E50" s="97">
        <v>24738.930174838977</v>
      </c>
      <c r="F50" s="97">
        <v>19.127083333333299</v>
      </c>
      <c r="G50" s="97">
        <v>0.31012105796875</v>
      </c>
      <c r="H50" s="97">
        <v>15.0416666666667</v>
      </c>
      <c r="I50" s="97"/>
      <c r="J50" s="97"/>
      <c r="K50" s="97"/>
      <c r="L50" s="97"/>
      <c r="M50" s="97"/>
      <c r="N50" s="97"/>
      <c r="O50" s="98"/>
    </row>
    <row r="51" spans="1:15" ht="17.25" thickBot="1" x14ac:dyDescent="0.35">
      <c r="A51" s="100" t="s">
        <v>25</v>
      </c>
      <c r="B51" s="101" t="s">
        <v>23</v>
      </c>
      <c r="C51" s="101">
        <v>20</v>
      </c>
      <c r="D51" s="102">
        <v>0.18771475217315814</v>
      </c>
      <c r="E51" s="102">
        <v>35957.474450164038</v>
      </c>
      <c r="F51" s="102">
        <v>19.379166666666698</v>
      </c>
      <c r="G51" s="102">
        <v>0.31094736578124998</v>
      </c>
      <c r="H51" s="102">
        <v>66.8125</v>
      </c>
      <c r="I51" s="102"/>
      <c r="J51" s="102"/>
      <c r="K51" s="102"/>
      <c r="L51" s="102"/>
      <c r="M51" s="102"/>
      <c r="N51" s="102"/>
      <c r="O51" s="103"/>
    </row>
    <row r="52" spans="1:15" ht="16.5" x14ac:dyDescent="0.3">
      <c r="A52" s="87" t="s">
        <v>25</v>
      </c>
      <c r="B52" s="52" t="s">
        <v>19</v>
      </c>
      <c r="C52" s="52">
        <v>35</v>
      </c>
      <c r="D52" s="5">
        <v>0.2152069422859455</v>
      </c>
      <c r="E52" s="5">
        <v>22842.937081796572</v>
      </c>
      <c r="F52" s="5">
        <v>19.303125000000001</v>
      </c>
      <c r="G52" s="5">
        <v>0.26307408118749998</v>
      </c>
      <c r="H52" s="5">
        <v>56.21875</v>
      </c>
      <c r="I52" s="5"/>
      <c r="J52" s="5">
        <f>AVERAGE(D52:D56)</f>
        <v>0.52861790957172317</v>
      </c>
      <c r="K52" s="5">
        <f>STDEV(D52:D56)</f>
        <v>0.67088341938453244</v>
      </c>
      <c r="L52" s="5">
        <f>K52/SQRT(5)</f>
        <v>0.30002818614426291</v>
      </c>
      <c r="M52" s="5">
        <f>AVERAGE(E52:E56)</f>
        <v>19026.47049948759</v>
      </c>
      <c r="N52" s="5">
        <f>STDEV(E52:E56)</f>
        <v>8195.9545550022085</v>
      </c>
      <c r="O52" s="9">
        <f>N52/SQRT(5)</f>
        <v>3665.3423050967954</v>
      </c>
    </row>
    <row r="53" spans="1:15" ht="16.5" x14ac:dyDescent="0.3">
      <c r="A53" s="85" t="s">
        <v>25</v>
      </c>
      <c r="B53" s="14" t="s">
        <v>20</v>
      </c>
      <c r="C53" s="14">
        <v>35</v>
      </c>
      <c r="D53" s="6">
        <v>7.0517885748401232E-3</v>
      </c>
      <c r="E53" s="6">
        <v>24481.891144492707</v>
      </c>
      <c r="F53" s="6">
        <v>18.929166666666699</v>
      </c>
      <c r="G53" s="6">
        <v>0.27666900643749998</v>
      </c>
      <c r="H53" s="6">
        <v>28.25</v>
      </c>
      <c r="I53" s="6"/>
      <c r="J53" s="6"/>
      <c r="K53" s="6"/>
      <c r="L53" s="6"/>
      <c r="M53" s="6"/>
      <c r="N53" s="6"/>
      <c r="O53" s="11"/>
    </row>
    <row r="54" spans="1:15" ht="16.5" x14ac:dyDescent="0.3">
      <c r="A54" s="85" t="s">
        <v>25</v>
      </c>
      <c r="B54" s="14" t="s">
        <v>21</v>
      </c>
      <c r="C54" s="14">
        <v>35</v>
      </c>
      <c r="D54" s="6">
        <v>1.5721428971385287</v>
      </c>
      <c r="E54" s="6">
        <v>4957.377228642903</v>
      </c>
      <c r="F54" s="6">
        <v>18.9895833333333</v>
      </c>
      <c r="G54" s="6">
        <v>0.34575306709374998</v>
      </c>
      <c r="H54" s="6">
        <v>87.1770833333333</v>
      </c>
      <c r="I54" s="6"/>
      <c r="J54" s="6"/>
      <c r="K54" s="6"/>
      <c r="L54" s="6"/>
      <c r="M54" s="6"/>
      <c r="N54" s="6"/>
      <c r="O54" s="11"/>
    </row>
    <row r="55" spans="1:15" ht="16.5" x14ac:dyDescent="0.3">
      <c r="A55" s="85" t="s">
        <v>25</v>
      </c>
      <c r="B55" s="14" t="s">
        <v>22</v>
      </c>
      <c r="C55" s="14">
        <v>35</v>
      </c>
      <c r="D55" s="6">
        <v>2.4725339361632237E-2</v>
      </c>
      <c r="E55" s="6">
        <v>24156.526825544017</v>
      </c>
      <c r="F55" s="6">
        <v>18.685416666666701</v>
      </c>
      <c r="G55" s="6">
        <v>0.28754042921875</v>
      </c>
      <c r="H55" s="6">
        <v>19.4375</v>
      </c>
      <c r="I55" s="6"/>
      <c r="J55" s="6"/>
      <c r="K55" s="6"/>
      <c r="L55" s="6"/>
      <c r="M55" s="6"/>
      <c r="N55" s="6"/>
      <c r="O55" s="11"/>
    </row>
    <row r="56" spans="1:15" ht="17.25" thickBot="1" x14ac:dyDescent="0.35">
      <c r="A56" s="104" t="s">
        <v>25</v>
      </c>
      <c r="B56" s="30" t="s">
        <v>23</v>
      </c>
      <c r="C56" s="30">
        <v>35</v>
      </c>
      <c r="D56" s="38">
        <v>0.82396258049766891</v>
      </c>
      <c r="E56" s="38">
        <v>18693.620216961757</v>
      </c>
      <c r="F56" s="38">
        <v>18.985416666666701</v>
      </c>
      <c r="G56" s="38">
        <v>0.31653700478125002</v>
      </c>
      <c r="H56" s="38">
        <v>36.7708333333333</v>
      </c>
      <c r="I56" s="38"/>
      <c r="J56" s="38"/>
      <c r="K56" s="38"/>
      <c r="L56" s="38"/>
      <c r="M56" s="38"/>
      <c r="N56" s="38"/>
      <c r="O56" s="105"/>
    </row>
    <row r="57" spans="1:15" ht="16.5" x14ac:dyDescent="0.3">
      <c r="A57" s="108" t="s">
        <v>25</v>
      </c>
      <c r="B57" s="109" t="s">
        <v>19</v>
      </c>
      <c r="C57" s="109">
        <v>50</v>
      </c>
      <c r="D57" s="110">
        <v>0.15629510632997223</v>
      </c>
      <c r="E57" s="110">
        <v>21709.372129435749</v>
      </c>
      <c r="F57" s="110"/>
      <c r="G57" s="110"/>
      <c r="H57" s="110"/>
      <c r="I57" s="110"/>
      <c r="J57" s="110">
        <f>AVERAGE(D57:D61)</f>
        <v>0.15924069812777097</v>
      </c>
      <c r="K57" s="110">
        <f>STDEV(D57:D61)</f>
        <v>5.2460087311675244E-2</v>
      </c>
      <c r="L57" s="110">
        <f>K57/SQRT(5)</f>
        <v>2.3460864266896007E-2</v>
      </c>
      <c r="M57" s="110">
        <f>AVERAGE(E57:E61)</f>
        <v>25875.598781792349</v>
      </c>
      <c r="N57" s="110">
        <f>STDEV(E57:E61)</f>
        <v>6579.0163878379753</v>
      </c>
      <c r="O57" s="111">
        <f>N57/SQRT(5)</f>
        <v>2942.2255736581665</v>
      </c>
    </row>
    <row r="58" spans="1:15" ht="16.5" x14ac:dyDescent="0.3">
      <c r="A58" s="95" t="s">
        <v>25</v>
      </c>
      <c r="B58" s="96" t="s">
        <v>20</v>
      </c>
      <c r="C58" s="96">
        <v>50</v>
      </c>
      <c r="D58" s="97">
        <v>0.11112936543039287</v>
      </c>
      <c r="E58" s="97">
        <v>21860.053277401934</v>
      </c>
      <c r="F58" s="97"/>
      <c r="G58" s="97"/>
      <c r="H58" s="97"/>
      <c r="I58" s="97"/>
      <c r="J58" s="97"/>
      <c r="K58" s="97"/>
      <c r="L58" s="97"/>
      <c r="M58" s="97"/>
      <c r="N58" s="97"/>
      <c r="O58" s="98"/>
    </row>
    <row r="59" spans="1:15" ht="16.5" x14ac:dyDescent="0.3">
      <c r="A59" s="95" t="s">
        <v>25</v>
      </c>
      <c r="B59" s="96" t="s">
        <v>21</v>
      </c>
      <c r="C59" s="96">
        <v>50</v>
      </c>
      <c r="D59" s="97">
        <v>0.2328804930727375</v>
      </c>
      <c r="E59" s="97">
        <v>36086.462078529847</v>
      </c>
      <c r="F59" s="97"/>
      <c r="G59" s="97"/>
      <c r="H59" s="97"/>
      <c r="I59" s="97"/>
      <c r="J59" s="97"/>
      <c r="K59" s="97"/>
      <c r="L59" s="97"/>
      <c r="M59" s="97"/>
      <c r="N59" s="97"/>
      <c r="O59" s="98"/>
    </row>
    <row r="60" spans="1:15" ht="16.5" x14ac:dyDescent="0.3">
      <c r="A60" s="95" t="s">
        <v>25</v>
      </c>
      <c r="B60" s="96" t="s">
        <v>22</v>
      </c>
      <c r="C60" s="96">
        <v>50</v>
      </c>
      <c r="D60" s="97">
        <v>0.13665782767798129</v>
      </c>
      <c r="E60" s="97">
        <v>20778.686152279373</v>
      </c>
      <c r="F60" s="97"/>
      <c r="G60" s="97"/>
      <c r="H60" s="97"/>
      <c r="I60" s="97"/>
      <c r="J60" s="97"/>
      <c r="K60" s="97"/>
      <c r="L60" s="97"/>
      <c r="M60" s="97"/>
      <c r="N60" s="97"/>
      <c r="O60" s="98"/>
    </row>
    <row r="61" spans="1:15" ht="17.25" thickBot="1" x14ac:dyDescent="0.35">
      <c r="A61" s="100" t="s">
        <v>25</v>
      </c>
      <c r="B61" s="101" t="s">
        <v>23</v>
      </c>
      <c r="C61" s="101">
        <v>50</v>
      </c>
      <c r="D61" s="102"/>
      <c r="E61" s="102">
        <v>28943.42027131483</v>
      </c>
      <c r="F61" s="102"/>
      <c r="G61" s="102"/>
      <c r="H61" s="102"/>
      <c r="I61" s="102"/>
      <c r="J61" s="102"/>
      <c r="K61" s="102"/>
      <c r="L61" s="102"/>
      <c r="M61" s="102"/>
      <c r="N61" s="102"/>
      <c r="O61" s="103"/>
    </row>
    <row r="62" spans="1:15" ht="16.5" x14ac:dyDescent="0.3">
      <c r="A62" s="2"/>
      <c r="B62" s="2"/>
      <c r="C62" s="2"/>
      <c r="D62" s="2"/>
      <c r="E62" s="2"/>
      <c r="F62" s="2"/>
      <c r="G62" s="2"/>
      <c r="H62" s="2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29 - STDs and Samples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Read, Zoe</cp:lastModifiedBy>
  <cp:lastPrinted>2021-07-02T12:17:28Z</cp:lastPrinted>
  <dcterms:created xsi:type="dcterms:W3CDTF">2014-08-19T17:33:21Z</dcterms:created>
  <dcterms:modified xsi:type="dcterms:W3CDTF">2026-10-13T16:26:54Z</dcterms:modified>
</cp:coreProperties>
</file>