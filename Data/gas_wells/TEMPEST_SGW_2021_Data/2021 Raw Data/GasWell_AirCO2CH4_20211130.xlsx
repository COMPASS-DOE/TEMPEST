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S:\Biogeochemistry\TEMPEST\Soil (GHG)\"/>
    </mc:Choice>
  </mc:AlternateContent>
  <xr:revisionPtr revIDLastSave="0" documentId="13_ncr:1_{A180D808-F57F-43C9-817A-5C2BEEA07EB0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42" i="1" l="1"/>
  <c r="P43" i="1"/>
  <c r="P41" i="1"/>
  <c r="O42" i="1"/>
  <c r="P29" i="1"/>
  <c r="O29" i="1"/>
  <c r="P8" i="1"/>
  <c r="O43" i="1" l="1"/>
  <c r="O41" i="1"/>
  <c r="O38" i="1"/>
  <c r="O14" i="1"/>
  <c r="P14" i="1"/>
  <c r="P11" i="1"/>
  <c r="P38" i="1" l="1"/>
  <c r="P35" i="1"/>
  <c r="O35" i="1"/>
  <c r="P32" i="1"/>
  <c r="O32" i="1"/>
  <c r="P26" i="1"/>
  <c r="O26" i="1"/>
  <c r="P20" i="1"/>
  <c r="O20" i="1"/>
  <c r="P17" i="1"/>
  <c r="O17" i="1"/>
  <c r="O11" i="1"/>
  <c r="O8" i="1"/>
  <c r="AA31" i="1" l="1"/>
  <c r="AA14" i="1"/>
  <c r="AA30" i="1"/>
  <c r="AA29" i="1"/>
  <c r="AA15" i="1"/>
  <c r="AA16" i="1"/>
  <c r="I7" i="1" l="1"/>
  <c r="D2" i="2" s="1"/>
  <c r="I25" i="1"/>
  <c r="D16" i="2" s="1"/>
  <c r="I19" i="1"/>
  <c r="D5" i="2" s="1"/>
  <c r="I48" i="1"/>
  <c r="D47" i="2" s="1"/>
  <c r="I58" i="1"/>
  <c r="D59" i="2" s="1"/>
  <c r="I14" i="1"/>
  <c r="D18" i="2" s="1"/>
  <c r="I24" i="1"/>
  <c r="D11" i="2" s="1"/>
  <c r="I37" i="1"/>
  <c r="D34" i="2" s="1"/>
  <c r="I39" i="1"/>
  <c r="D25" i="2" s="1"/>
  <c r="I65" i="1"/>
  <c r="D56" i="2" s="1"/>
  <c r="I35" i="1"/>
  <c r="D24" i="2" s="1"/>
  <c r="I17" i="1"/>
  <c r="D14" i="2" s="1"/>
  <c r="I20" i="1"/>
  <c r="D10" i="2" s="1"/>
  <c r="I56" i="1"/>
  <c r="D49" i="2" s="1"/>
  <c r="I53" i="1"/>
  <c r="D53" i="2" s="1"/>
  <c r="I55" i="1"/>
  <c r="D44" i="2" s="1"/>
  <c r="I62" i="1"/>
  <c r="D60" i="2" s="1"/>
  <c r="I42" i="1"/>
  <c r="D40" i="2" s="1"/>
  <c r="I29" i="1"/>
  <c r="D32" i="2" s="1"/>
  <c r="I49" i="1"/>
  <c r="D52" i="2" s="1"/>
  <c r="I27" i="1"/>
  <c r="D22" i="2" s="1"/>
  <c r="I64" i="1"/>
  <c r="D51" i="2" s="1"/>
  <c r="I12" i="1"/>
  <c r="D8" i="2" s="1"/>
  <c r="I22" i="1"/>
  <c r="D20" i="2" s="1"/>
  <c r="I40" i="1"/>
  <c r="D30" i="2" s="1"/>
  <c r="I45" i="1"/>
  <c r="D36" i="2" s="1"/>
  <c r="I47" i="1"/>
  <c r="D42" i="2" s="1"/>
  <c r="I30" i="1"/>
  <c r="D37" i="2" s="1"/>
  <c r="I23" i="1"/>
  <c r="D6" i="2" s="1"/>
  <c r="I11" i="1"/>
  <c r="D3" i="2" s="1"/>
  <c r="I31" i="1"/>
  <c r="D23" i="2" s="1"/>
  <c r="I10" i="1"/>
  <c r="D17" i="2" s="1"/>
  <c r="I43" i="1"/>
  <c r="D26" i="2" s="1"/>
  <c r="I41" i="1"/>
  <c r="D35" i="2" s="1"/>
  <c r="I28" i="1"/>
  <c r="D27" i="2" s="1"/>
  <c r="I38" i="1"/>
  <c r="D39" i="2" s="1"/>
  <c r="I9" i="1"/>
  <c r="D12" i="2" s="1"/>
  <c r="I61" i="1"/>
  <c r="D55" i="2" s="1"/>
  <c r="I66" i="1"/>
  <c r="D61" i="2" s="1"/>
  <c r="I32" i="1"/>
  <c r="D28" i="2" s="1"/>
  <c r="I60" i="1"/>
  <c r="D50" i="2" s="1"/>
  <c r="I26" i="1"/>
  <c r="D21" i="2" s="1"/>
  <c r="I51" i="1"/>
  <c r="D43" i="2" s="1"/>
  <c r="I57" i="1"/>
  <c r="D54" i="2" s="1"/>
  <c r="I36" i="1"/>
  <c r="D29" i="2" s="1"/>
  <c r="I46" i="1"/>
  <c r="D41" i="2" s="1"/>
  <c r="I33" i="1"/>
  <c r="D33" i="2" s="1"/>
  <c r="I50" i="1"/>
  <c r="D57" i="2" s="1"/>
  <c r="I59" i="1"/>
  <c r="D45" i="2" s="1"/>
  <c r="I18" i="1"/>
  <c r="D19" i="2" s="1"/>
  <c r="I44" i="1"/>
  <c r="D31" i="2" s="1"/>
  <c r="I54" i="1"/>
  <c r="D58" i="2" s="1"/>
  <c r="I13" i="1"/>
  <c r="D13" i="2" s="1"/>
  <c r="I15" i="1"/>
  <c r="D4" i="2" s="1"/>
  <c r="I16" i="1"/>
  <c r="D9" i="2" s="1"/>
  <c r="I34" i="1"/>
  <c r="D38" i="2" s="1"/>
  <c r="I52" i="1"/>
  <c r="D48" i="2" s="1"/>
  <c r="I21" i="1"/>
  <c r="D15" i="2" s="1"/>
  <c r="I63" i="1"/>
  <c r="D46" i="2" s="1"/>
  <c r="I8" i="1"/>
  <c r="D7" i="2" s="1"/>
  <c r="J65" i="1"/>
  <c r="E56" i="2" s="1"/>
  <c r="J63" i="1"/>
  <c r="E46" i="2" s="1"/>
  <c r="J62" i="1"/>
  <c r="E60" i="2" s="1"/>
  <c r="J54" i="1"/>
  <c r="E58" i="2" s="1"/>
  <c r="J46" i="1"/>
  <c r="E41" i="2" s="1"/>
  <c r="J38" i="1"/>
  <c r="E39" i="2" s="1"/>
  <c r="J30" i="1"/>
  <c r="E37" i="2" s="1"/>
  <c r="J22" i="1"/>
  <c r="E20" i="2" s="1"/>
  <c r="J14" i="1"/>
  <c r="E18" i="2" s="1"/>
  <c r="J53" i="1"/>
  <c r="E53" i="2" s="1"/>
  <c r="J45" i="1"/>
  <c r="E36" i="2" s="1"/>
  <c r="J37" i="1"/>
  <c r="E34" i="2" s="1"/>
  <c r="J29" i="1"/>
  <c r="E32" i="2" s="1"/>
  <c r="J21" i="1"/>
  <c r="E15" i="2" s="1"/>
  <c r="J13" i="1"/>
  <c r="E13" i="2" s="1"/>
  <c r="J60" i="1"/>
  <c r="E50" i="2" s="1"/>
  <c r="J52" i="1"/>
  <c r="E48" i="2" s="1"/>
  <c r="J44" i="1"/>
  <c r="E31" i="2" s="1"/>
  <c r="J36" i="1"/>
  <c r="E29" i="2" s="1"/>
  <c r="J28" i="1"/>
  <c r="E27" i="2" s="1"/>
  <c r="J20" i="1"/>
  <c r="E10" i="2" s="1"/>
  <c r="J12" i="1"/>
  <c r="E8" i="2" s="1"/>
  <c r="J51" i="1"/>
  <c r="E43" i="2" s="1"/>
  <c r="J43" i="1"/>
  <c r="E26" i="2" s="1"/>
  <c r="J35" i="1"/>
  <c r="E24" i="2" s="1"/>
  <c r="J27" i="1"/>
  <c r="E22" i="2" s="1"/>
  <c r="J19" i="1"/>
  <c r="E5" i="2" s="1"/>
  <c r="J11" i="1"/>
  <c r="E3" i="2" s="1"/>
  <c r="J66" i="1"/>
  <c r="E61" i="2" s="1"/>
  <c r="J58" i="1"/>
  <c r="E59" i="2" s="1"/>
  <c r="J50" i="1"/>
  <c r="E57" i="2" s="1"/>
  <c r="J42" i="1"/>
  <c r="E40" i="2" s="1"/>
  <c r="J34" i="1"/>
  <c r="E38" i="2" s="1"/>
  <c r="J26" i="1"/>
  <c r="E21" i="2" s="1"/>
  <c r="J18" i="1"/>
  <c r="E19" i="2" s="1"/>
  <c r="J10" i="1"/>
  <c r="E17" i="2" s="1"/>
  <c r="J57" i="1"/>
  <c r="E54" i="2" s="1"/>
  <c r="J49" i="1"/>
  <c r="E52" i="2" s="1"/>
  <c r="J41" i="1"/>
  <c r="E35" i="2" s="1"/>
  <c r="J33" i="1"/>
  <c r="E33" i="2" s="1"/>
  <c r="J25" i="1"/>
  <c r="E16" i="2" s="1"/>
  <c r="J17" i="1"/>
  <c r="E14" i="2" s="1"/>
  <c r="J9" i="1"/>
  <c r="E12" i="2" s="1"/>
  <c r="J64" i="1"/>
  <c r="E51" i="2" s="1"/>
  <c r="J56" i="1"/>
  <c r="E49" i="2" s="1"/>
  <c r="J48" i="1"/>
  <c r="E47" i="2" s="1"/>
  <c r="J40" i="1"/>
  <c r="E30" i="2" s="1"/>
  <c r="J32" i="1"/>
  <c r="E28" i="2" s="1"/>
  <c r="J24" i="1"/>
  <c r="E11" i="2" s="1"/>
  <c r="J16" i="1"/>
  <c r="E9" i="2" s="1"/>
  <c r="J8" i="1"/>
  <c r="E7" i="2" s="1"/>
  <c r="J55" i="1"/>
  <c r="E44" i="2" s="1"/>
  <c r="J47" i="1"/>
  <c r="E42" i="2" s="1"/>
  <c r="J39" i="1"/>
  <c r="E25" i="2" s="1"/>
  <c r="J31" i="1"/>
  <c r="E23" i="2" s="1"/>
  <c r="J23" i="1"/>
  <c r="E6" i="2" s="1"/>
  <c r="J15" i="1"/>
  <c r="E4" i="2" s="1"/>
  <c r="J7" i="1"/>
  <c r="E2" i="2" s="1"/>
  <c r="J61" i="1"/>
  <c r="E55" i="2" s="1"/>
  <c r="J59" i="1"/>
  <c r="E45" i="2" s="1"/>
  <c r="N17" i="2" l="1"/>
  <c r="O17" i="2" s="1"/>
  <c r="M17" i="2"/>
  <c r="N27" i="2"/>
  <c r="O27" i="2" s="1"/>
  <c r="M27" i="2"/>
  <c r="N7" i="2"/>
  <c r="O7" i="2" s="1"/>
  <c r="M7" i="2"/>
  <c r="M12" i="2"/>
  <c r="N12" i="2"/>
  <c r="O12" i="2" s="1"/>
  <c r="N57" i="2"/>
  <c r="O57" i="2" s="1"/>
  <c r="M57" i="2"/>
  <c r="N37" i="2"/>
  <c r="O37" i="2" s="1"/>
  <c r="M37" i="2"/>
  <c r="N47" i="2"/>
  <c r="O47" i="2" s="1"/>
  <c r="M47" i="2"/>
  <c r="N52" i="2"/>
  <c r="O52" i="2" s="1"/>
  <c r="M52" i="2"/>
  <c r="N22" i="2"/>
  <c r="O22" i="2" s="1"/>
  <c r="M22" i="2"/>
  <c r="M2" i="2"/>
  <c r="N2" i="2"/>
  <c r="O2" i="2" s="1"/>
  <c r="N42" i="2"/>
  <c r="O42" i="2" s="1"/>
  <c r="M42" i="2"/>
  <c r="N32" i="2"/>
  <c r="O32" i="2" s="1"/>
  <c r="M32" i="2"/>
  <c r="J2" i="2"/>
  <c r="K2" i="2"/>
  <c r="L2" i="2" s="1"/>
  <c r="J12" i="2"/>
  <c r="K12" i="2"/>
  <c r="L12" i="2" s="1"/>
  <c r="J22" i="2"/>
  <c r="K22" i="2"/>
  <c r="L22" i="2" s="1"/>
  <c r="J7" i="2"/>
  <c r="K7" i="2"/>
  <c r="L7" i="2" s="1"/>
  <c r="J57" i="2"/>
  <c r="K57" i="2"/>
  <c r="L57" i="2" s="1"/>
  <c r="K17" i="2"/>
  <c r="L17" i="2" s="1"/>
  <c r="J17" i="2"/>
  <c r="J37" i="2"/>
  <c r="K37" i="2"/>
  <c r="L37" i="2" s="1"/>
  <c r="J52" i="2"/>
  <c r="K52" i="2"/>
  <c r="L52" i="2" s="1"/>
  <c r="K47" i="2"/>
  <c r="L47" i="2" s="1"/>
  <c r="J47" i="2"/>
  <c r="K27" i="2"/>
  <c r="L27" i="2" s="1"/>
  <c r="J27" i="2"/>
  <c r="K42" i="2"/>
  <c r="L42" i="2" s="1"/>
  <c r="J42" i="2"/>
  <c r="K32" i="2"/>
  <c r="L32" i="2" s="1"/>
  <c r="J32" i="2"/>
</calcChain>
</file>

<file path=xl/sharedStrings.xml><?xml version="1.0" encoding="utf-8"?>
<sst xmlns="http://schemas.openxmlformats.org/spreadsheetml/2006/main" count="318" uniqueCount="48">
  <si>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</si>
  <si>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</si>
  <si>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</si>
  <si>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</si>
  <si>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</si>
  <si>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</si>
  <si>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</si>
  <si>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</si>
  <si>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</si>
  <si>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</si>
  <si>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</si>
  <si>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</si>
  <si>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</si>
  <si>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</si>
  <si>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</si>
  <si>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</si>
  <si>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</si>
  <si>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</si>
  <si>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</si>
  <si>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</si>
  <si>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</si>
  <si>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</si>
  <si>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</si>
  <si>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</si>
  <si>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</si>
  <si>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</si>
  <si>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</si>
  <si>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</si>
  <si>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</si>
  <si>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</si>
  <si>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</si>
  <si>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</si>
  <si>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</si>
  <si>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</si>
  <si>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</si>
  <si>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</si>
  <si>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</si>
  <si>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</si>
  <si>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</si>
  <si>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</si>
  <si>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</si>
  <si>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</si>
  <si>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</si>
  <si>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</si>
  <si>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</si>
  <si>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</si>
  <si>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</si>
  <si>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Analyst: 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</si>
</sst>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Fill="1" applyBorder="1"/>
    <xf numFmtId="0" fontId="1" fillId="0" borderId="0" xfId="0" applyFont="1"/>
    <xf numFmtId="0" fontId="2" fillId="0" borderId="0" xfId="0" applyFont="1"/>
    <xf numFmtId="14" fontId="2" fillId="0" borderId="0" xfId="0" applyNumberFormat="1" applyFont="1" applyBorder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4" xfId="0" applyFont="1" applyFill="1" applyBorder="1"/>
    <xf numFmtId="14" fontId="1" fillId="0" borderId="4" xfId="0" applyNumberFormat="1" applyFont="1" applyFill="1" applyBorder="1"/>
    <xf numFmtId="14" fontId="4" fillId="0" borderId="4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4" fontId="1" fillId="0" borderId="6" xfId="0" applyNumberFormat="1" applyFont="1" applyFill="1" applyBorder="1"/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14" fontId="4" fillId="0" borderId="6" xfId="0" applyNumberFormat="1" applyFont="1" applyFill="1" applyBorder="1"/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4" fontId="1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1" fillId="0" borderId="20" xfId="0" applyNumberFormat="1" applyFont="1" applyFill="1" applyBorder="1"/>
    <xf numFmtId="0" fontId="1" fillId="0" borderId="20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4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4" fillId="0" borderId="20" xfId="0" applyNumberFormat="1" applyFont="1" applyFill="1" applyBorder="1"/>
    <xf numFmtId="0" fontId="4" fillId="0" borderId="2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4" fontId="1" fillId="2" borderId="11" xfId="0" applyNumberFormat="1" applyFont="1" applyFill="1" applyBorder="1"/>
    <xf numFmtId="0" fontId="1" fillId="0" borderId="20" xfId="0" applyFont="1" applyFill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/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4" fontId="1" fillId="0" borderId="5" xfId="0" applyNumberFormat="1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0" borderId="3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14" fontId="1" fillId="0" borderId="8" xfId="0" applyNumberFormat="1" applyFont="1" applyFill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0" borderId="19" xfId="0" applyNumberFormat="1" applyFont="1" applyFill="1" applyBorder="1"/>
    <xf numFmtId="14" fontId="1" fillId="2" borderId="10" xfId="0" applyNumberFormat="1" applyFont="1" applyFill="1" applyBorder="1"/>
    <xf numFmtId="0" fontId="1" fillId="0" borderId="8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4" xfId="0" applyFont="1" applyFill="1" applyBorder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4" fillId="0" borderId="19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/>
    <xf numFmtId="0" fontId="1" fillId="0" borderId="22" xfId="0" applyFont="1" applyFill="1" applyBorder="1"/>
    <xf numFmtId="0" fontId="1" fillId="0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152578224565446"/>
                  <c:y val="-4.549564220567921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Samples'!$P$8:$P$22</c:f>
              <c:numCache>
                <c:formatCode>General</c:formatCode>
                <c:ptCount val="15"/>
                <c:pt idx="0">
                  <c:v>4379.333333333333</c:v>
                </c:pt>
                <c:pt idx="3">
                  <c:v>3256.6666666666665</c:v>
                </c:pt>
                <c:pt idx="6">
                  <c:v>2232.3333333333335</c:v>
                </c:pt>
                <c:pt idx="9">
                  <c:v>1325</c:v>
                </c:pt>
                <c:pt idx="12">
                  <c:v>666.33333333333337</c:v>
                </c:pt>
              </c:numCache>
            </c:numRef>
          </c:xVal>
          <c:yVal>
            <c:numRef>
              <c:f>'STDs and Samples'!$O$8:$O$22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Samples'!$P$26:$P$43</c:f>
              <c:numCache>
                <c:formatCode>General</c:formatCode>
                <c:ptCount val="18"/>
                <c:pt idx="0">
                  <c:v>204629.33333333334</c:v>
                </c:pt>
                <c:pt idx="3">
                  <c:v>150811.66666666666</c:v>
                </c:pt>
                <c:pt idx="6">
                  <c:v>101419.66666666667</c:v>
                </c:pt>
                <c:pt idx="9">
                  <c:v>60309</c:v>
                </c:pt>
                <c:pt idx="12">
                  <c:v>27431.333333333332</c:v>
                </c:pt>
                <c:pt idx="15">
                  <c:v>314395</c:v>
                </c:pt>
                <c:pt idx="16">
                  <c:v>597921</c:v>
                </c:pt>
                <c:pt idx="17">
                  <c:v>1238913</c:v>
                </c:pt>
              </c:numCache>
            </c:numRef>
          </c:xVal>
          <c:yVal>
            <c:numRef>
              <c:f>'STDs and Samples'!$O$26:$O$43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6.1249962620244798E-2</c:v>
                  </c:pt>
                  <c:pt idx="1">
                    <c:v>8.7085347636416149E-2</c:v>
                  </c:pt>
                  <c:pt idx="2">
                    <c:v>0.14744224474145765</c:v>
                  </c:pt>
                  <c:pt idx="3">
                    <c:v>0.1815463661829623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6.1249962620244798E-2</c:v>
                  </c:pt>
                  <c:pt idx="1">
                    <c:v>8.7085347636416149E-2</c:v>
                  </c:pt>
                  <c:pt idx="2">
                    <c:v>0.14744224474145765</c:v>
                  </c:pt>
                  <c:pt idx="3">
                    <c:v>0.1815463661829623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0.5364366080340236</c:v>
                </c:pt>
                <c:pt idx="1">
                  <c:v>-8.0296800545924581E-3</c:v>
                </c:pt>
                <c:pt idx="2">
                  <c:v>6.313500075367065E-2</c:v>
                </c:pt>
                <c:pt idx="3">
                  <c:v>-0.13454466815817129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9.0180171852740895E-2</c:v>
                  </c:pt>
                  <c:pt idx="1">
                    <c:v>0.10089460584014261</c:v>
                  </c:pt>
                  <c:pt idx="2">
                    <c:v>6.7706296800469509E-2</c:v>
                  </c:pt>
                  <c:pt idx="3">
                    <c:v>8.7139869311701854E-2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9.0180171852740895E-2</c:v>
                  </c:pt>
                  <c:pt idx="1">
                    <c:v>0.10089460584014261</c:v>
                  </c:pt>
                  <c:pt idx="2">
                    <c:v>6.7706296800469509E-2</c:v>
                  </c:pt>
                  <c:pt idx="3">
                    <c:v>8.7139869311701854E-2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5.2605540073641294E-2</c:v>
                  </c:pt>
                  <c:pt idx="1">
                    <c:v>8.6151143165830724E-3</c:v>
                  </c:pt>
                  <c:pt idx="2">
                    <c:v>9.9444204355393279E-2</c:v>
                  </c:pt>
                  <c:pt idx="3">
                    <c:v>0.20246170776384817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5.2605540073641294E-2</c:v>
                  </c:pt>
                  <c:pt idx="1">
                    <c:v>8.6151143165830724E-3</c:v>
                  </c:pt>
                  <c:pt idx="2">
                    <c:v>9.9444204355393279E-2</c:v>
                  </c:pt>
                  <c:pt idx="3">
                    <c:v>0.20246170776384817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0.21525421264011668</c:v>
                </c:pt>
                <c:pt idx="1">
                  <c:v>-0.21286347031752967</c:v>
                </c:pt>
                <c:pt idx="2">
                  <c:v>-0.1612784900491061</c:v>
                </c:pt>
                <c:pt idx="3">
                  <c:v>-0.35142750490716357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5.2605540073641294E-2</c:v>
                  </c:pt>
                  <c:pt idx="1">
                    <c:v>8.6151143165830724E-3</c:v>
                  </c:pt>
                  <c:pt idx="2">
                    <c:v>9.9444204355393279E-2</c:v>
                  </c:pt>
                  <c:pt idx="3">
                    <c:v>0.20246170776384817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5.2605540073641294E-2</c:v>
                  </c:pt>
                  <c:pt idx="1">
                    <c:v>8.6151143165830724E-3</c:v>
                  </c:pt>
                  <c:pt idx="2">
                    <c:v>9.9444204355393279E-2</c:v>
                  </c:pt>
                  <c:pt idx="3">
                    <c:v>0.20246170776384817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9.0180171852740895E-2</c:v>
                  </c:pt>
                  <c:pt idx="1">
                    <c:v>0.10089460584014261</c:v>
                  </c:pt>
                  <c:pt idx="2">
                    <c:v>6.7706296800469509E-2</c:v>
                  </c:pt>
                  <c:pt idx="3">
                    <c:v>8.7139869311701854E-2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9.0180171852740895E-2</c:v>
                  </c:pt>
                  <c:pt idx="1">
                    <c:v>0.10089460584014261</c:v>
                  </c:pt>
                  <c:pt idx="2">
                    <c:v>6.7706296800469509E-2</c:v>
                  </c:pt>
                  <c:pt idx="3">
                    <c:v>8.7139869311701854E-2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0.22918592263961787</c:v>
                </c:pt>
                <c:pt idx="1">
                  <c:v>-0.50844164192856955</c:v>
                </c:pt>
                <c:pt idx="2">
                  <c:v>-0.31678649625975513</c:v>
                </c:pt>
                <c:pt idx="3">
                  <c:v>-0.39623489652718114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0.34478146236520923</c:v>
                </c:pt>
                <c:pt idx="1">
                  <c:v>-0.21060427410139426</c:v>
                </c:pt>
                <c:pt idx="2">
                  <c:v>-3.7399230864351818E-2</c:v>
                </c:pt>
                <c:pt idx="3">
                  <c:v>-0.436523895714928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0.58952771911320401</c:v>
                </c:pt>
                <c:pt idx="1">
                  <c:v>-0.10329245383496577</c:v>
                </c:pt>
                <c:pt idx="2">
                  <c:v>0.12827515831890612</c:v>
                </c:pt>
                <c:pt idx="3">
                  <c:v>-7.1287174106381856E-2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0.60082370019388076</c:v>
                </c:pt>
                <c:pt idx="1">
                  <c:v>0.1960510448029662</c:v>
                </c:pt>
                <c:pt idx="2">
                  <c:v>0.42385332992994607</c:v>
                </c:pt>
                <c:pt idx="3">
                  <c:v>0.53869580425015906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0.45397594614508385</c:v>
                </c:pt>
                <c:pt idx="1">
                  <c:v>0.20546436237019683</c:v>
                </c:pt>
                <c:pt idx="2">
                  <c:v>0.24500029615256524</c:v>
                </c:pt>
                <c:pt idx="3">
                  <c:v>-0.44217188625526627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0.69307421235274047</c:v>
                </c:pt>
                <c:pt idx="1">
                  <c:v>-0.12776707950976529</c:v>
                </c:pt>
                <c:pt idx="2">
                  <c:v>-0.44405454976871239</c:v>
                </c:pt>
                <c:pt idx="3">
                  <c:v>-0.26143618896443932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-7.5052501133274108E-2</c:v>
                </c:pt>
                <c:pt idx="1">
                  <c:v>-0.56266235111581753</c:v>
                </c:pt>
                <c:pt idx="2">
                  <c:v>-0.19742562950727149</c:v>
                </c:pt>
                <c:pt idx="3">
                  <c:v>-0.421462587607359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0.10568319615755284</c:v>
                </c:pt>
                <c:pt idx="1">
                  <c:v>-0.31979875788126888</c:v>
                </c:pt>
                <c:pt idx="2">
                  <c:v>-0.4064012794997901</c:v>
                </c:pt>
                <c:pt idx="3">
                  <c:v>-0.44028922274182014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0.36172543398622437</c:v>
                </c:pt>
                <c:pt idx="1">
                  <c:v>-5.8108529512259088E-2</c:v>
                </c:pt>
                <c:pt idx="2">
                  <c:v>-6.9404510592935731E-2</c:v>
                </c:pt>
                <c:pt idx="3">
                  <c:v>-0.28026282409890046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0.42197066641649994</c:v>
                </c:pt>
                <c:pt idx="1">
                  <c:v>-7.3169837619827982E-2</c:v>
                </c:pt>
                <c:pt idx="2">
                  <c:v>-0.11082310788875027</c:v>
                </c:pt>
                <c:pt idx="3">
                  <c:v>-5.2460538971920712E-2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0.26194426777358037</c:v>
                </c:pt>
                <c:pt idx="1">
                  <c:v>-5.0577875458474586E-2</c:v>
                </c:pt>
                <c:pt idx="2">
                  <c:v>-2.2337922756782924E-2</c:v>
                </c:pt>
                <c:pt idx="3">
                  <c:v>-0.56266235111581753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0.37866940560723927</c:v>
                </c:pt>
                <c:pt idx="1">
                  <c:v>-0.49488646463175751</c:v>
                </c:pt>
                <c:pt idx="2">
                  <c:v>-0.38757464436532896</c:v>
                </c:pt>
                <c:pt idx="3">
                  <c:v>-0.96555234299328596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0.18287240020884354</c:v>
                </c:pt>
                <c:pt idx="1">
                  <c:v>-0.52500908084689524</c:v>
                </c:pt>
                <c:pt idx="2">
                  <c:v>-0.1597723592383492</c:v>
                </c:pt>
                <c:pt idx="3">
                  <c:v>0.25064828669290362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0.25064828669290362</c:v>
                </c:pt>
                <c:pt idx="1">
                  <c:v>-0.48547314706452693</c:v>
                </c:pt>
                <c:pt idx="2">
                  <c:v>-2.422058627022905E-2</c:v>
                </c:pt>
                <c:pt idx="3">
                  <c:v>-0.19930829302071762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0.27324024885425691</c:v>
                </c:pt>
                <c:pt idx="1">
                  <c:v>-0.5061824457124342</c:v>
                </c:pt>
                <c:pt idx="2">
                  <c:v>-0.57960632273683266</c:v>
                </c:pt>
                <c:pt idx="3">
                  <c:v>-0.55324903354858701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6.0499271834846047E-2</c:v>
                </c:pt>
                <c:pt idx="1">
                  <c:v>-0.53065707138723361</c:v>
                </c:pt>
                <c:pt idx="2">
                  <c:v>-0.43275856868803575</c:v>
                </c:pt>
                <c:pt idx="3">
                  <c:v>-0.51371309976621871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0.34478146236520923</c:v>
                </c:pt>
                <c:pt idx="1">
                  <c:v>0.58952771911320401</c:v>
                </c:pt>
                <c:pt idx="2">
                  <c:v>0.60082370019388076</c:v>
                </c:pt>
                <c:pt idx="3">
                  <c:v>0.45397594614508385</c:v>
                </c:pt>
                <c:pt idx="4">
                  <c:v>0.69307421235274047</c:v>
                </c:pt>
                <c:pt idx="5">
                  <c:v>-7.5052501133274108E-2</c:v>
                </c:pt>
                <c:pt idx="6">
                  <c:v>0.10568319615755284</c:v>
                </c:pt>
                <c:pt idx="7">
                  <c:v>0.36172543398622437</c:v>
                </c:pt>
                <c:pt idx="8">
                  <c:v>0.42197066641649994</c:v>
                </c:pt>
                <c:pt idx="9">
                  <c:v>0.26194426777358037</c:v>
                </c:pt>
                <c:pt idx="10">
                  <c:v>0.37866940560723927</c:v>
                </c:pt>
                <c:pt idx="11">
                  <c:v>0.18287240020884354</c:v>
                </c:pt>
                <c:pt idx="12">
                  <c:v>0.25064828669290362</c:v>
                </c:pt>
                <c:pt idx="13">
                  <c:v>0.27324024885425691</c:v>
                </c:pt>
                <c:pt idx="14">
                  <c:v>6.0499271834846047E-2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-0.21060427410139426</c:v>
                </c:pt>
                <c:pt idx="1">
                  <c:v>-0.10329245383496577</c:v>
                </c:pt>
                <c:pt idx="2">
                  <c:v>0.1960510448029662</c:v>
                </c:pt>
                <c:pt idx="3">
                  <c:v>0.20546436237019683</c:v>
                </c:pt>
                <c:pt idx="4">
                  <c:v>-0.12776707950976529</c:v>
                </c:pt>
                <c:pt idx="5">
                  <c:v>-0.56266235111581753</c:v>
                </c:pt>
                <c:pt idx="6">
                  <c:v>-0.31979875788126888</c:v>
                </c:pt>
                <c:pt idx="7">
                  <c:v>-5.8108529512259088E-2</c:v>
                </c:pt>
                <c:pt idx="8">
                  <c:v>-7.3169837619827982E-2</c:v>
                </c:pt>
                <c:pt idx="9">
                  <c:v>-5.0577875458474586E-2</c:v>
                </c:pt>
                <c:pt idx="10">
                  <c:v>-0.49488646463175751</c:v>
                </c:pt>
                <c:pt idx="11">
                  <c:v>-0.52500908084689524</c:v>
                </c:pt>
                <c:pt idx="12">
                  <c:v>-0.48547314706452693</c:v>
                </c:pt>
                <c:pt idx="13">
                  <c:v>-0.5061824457124342</c:v>
                </c:pt>
                <c:pt idx="14">
                  <c:v>-0.53065707138723361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-3.7399230864351818E-2</c:v>
                </c:pt>
                <c:pt idx="1">
                  <c:v>0.12827515831890612</c:v>
                </c:pt>
                <c:pt idx="2">
                  <c:v>0.42385332992994607</c:v>
                </c:pt>
                <c:pt idx="3">
                  <c:v>0.24500029615256524</c:v>
                </c:pt>
                <c:pt idx="4">
                  <c:v>-0.44405454976871239</c:v>
                </c:pt>
                <c:pt idx="5">
                  <c:v>-0.19742562950727149</c:v>
                </c:pt>
                <c:pt idx="6">
                  <c:v>-0.4064012794997901</c:v>
                </c:pt>
                <c:pt idx="7">
                  <c:v>-6.9404510592935731E-2</c:v>
                </c:pt>
                <c:pt idx="8">
                  <c:v>-0.11082310788875027</c:v>
                </c:pt>
                <c:pt idx="9">
                  <c:v>-2.2337922756782924E-2</c:v>
                </c:pt>
                <c:pt idx="10">
                  <c:v>-0.38757464436532896</c:v>
                </c:pt>
                <c:pt idx="11">
                  <c:v>-0.1597723592383492</c:v>
                </c:pt>
                <c:pt idx="12">
                  <c:v>-2.422058627022905E-2</c:v>
                </c:pt>
                <c:pt idx="13">
                  <c:v>-0.57960632273683266</c:v>
                </c:pt>
                <c:pt idx="14">
                  <c:v>-0.43275856868803575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0.34478146236520923</c:v>
                </c:pt>
                <c:pt idx="1">
                  <c:v>0.58952771911320401</c:v>
                </c:pt>
                <c:pt idx="2">
                  <c:v>0.60082370019388076</c:v>
                </c:pt>
                <c:pt idx="3">
                  <c:v>0.45397594614508385</c:v>
                </c:pt>
                <c:pt idx="4">
                  <c:v>0.69307421235274047</c:v>
                </c:pt>
                <c:pt idx="5">
                  <c:v>-7.5052501133274108E-2</c:v>
                </c:pt>
                <c:pt idx="6">
                  <c:v>0.10568319615755284</c:v>
                </c:pt>
                <c:pt idx="7">
                  <c:v>0.36172543398622437</c:v>
                </c:pt>
                <c:pt idx="8">
                  <c:v>0.42197066641649994</c:v>
                </c:pt>
                <c:pt idx="9">
                  <c:v>0.26194426777358037</c:v>
                </c:pt>
                <c:pt idx="10">
                  <c:v>0.37866940560723927</c:v>
                </c:pt>
                <c:pt idx="11">
                  <c:v>0.18287240020884354</c:v>
                </c:pt>
                <c:pt idx="12">
                  <c:v>0.25064828669290362</c:v>
                </c:pt>
                <c:pt idx="13">
                  <c:v>0.27324024885425691</c:v>
                </c:pt>
                <c:pt idx="14">
                  <c:v>6.0499271834846047E-2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-0.21060427410139426</c:v>
                </c:pt>
                <c:pt idx="1">
                  <c:v>-0.10329245383496577</c:v>
                </c:pt>
                <c:pt idx="2">
                  <c:v>0.1960510448029662</c:v>
                </c:pt>
                <c:pt idx="3">
                  <c:v>0.20546436237019683</c:v>
                </c:pt>
                <c:pt idx="4">
                  <c:v>-0.12776707950976529</c:v>
                </c:pt>
                <c:pt idx="5">
                  <c:v>-0.56266235111581753</c:v>
                </c:pt>
                <c:pt idx="6">
                  <c:v>-0.31979875788126888</c:v>
                </c:pt>
                <c:pt idx="7">
                  <c:v>-5.8108529512259088E-2</c:v>
                </c:pt>
                <c:pt idx="8">
                  <c:v>-7.3169837619827982E-2</c:v>
                </c:pt>
                <c:pt idx="9">
                  <c:v>-5.0577875458474586E-2</c:v>
                </c:pt>
                <c:pt idx="10">
                  <c:v>-0.49488646463175751</c:v>
                </c:pt>
                <c:pt idx="11">
                  <c:v>-0.52500908084689524</c:v>
                </c:pt>
                <c:pt idx="12">
                  <c:v>-0.48547314706452693</c:v>
                </c:pt>
                <c:pt idx="13">
                  <c:v>-0.5061824457124342</c:v>
                </c:pt>
                <c:pt idx="14">
                  <c:v>-0.53065707138723361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-3.7399230864351818E-2</c:v>
                </c:pt>
                <c:pt idx="1">
                  <c:v>0.12827515831890612</c:v>
                </c:pt>
                <c:pt idx="2">
                  <c:v>0.42385332992994607</c:v>
                </c:pt>
                <c:pt idx="3">
                  <c:v>0.24500029615256524</c:v>
                </c:pt>
                <c:pt idx="4">
                  <c:v>-0.44405454976871239</c:v>
                </c:pt>
                <c:pt idx="5">
                  <c:v>-0.19742562950727149</c:v>
                </c:pt>
                <c:pt idx="6">
                  <c:v>-0.4064012794997901</c:v>
                </c:pt>
                <c:pt idx="7">
                  <c:v>-6.9404510592935731E-2</c:v>
                </c:pt>
                <c:pt idx="8">
                  <c:v>-0.11082310788875027</c:v>
                </c:pt>
                <c:pt idx="9">
                  <c:v>-2.2337922756782924E-2</c:v>
                </c:pt>
                <c:pt idx="10">
                  <c:v>-0.38757464436532896</c:v>
                </c:pt>
                <c:pt idx="11">
                  <c:v>-0.1597723592383492</c:v>
                </c:pt>
                <c:pt idx="12">
                  <c:v>-2.422058627022905E-2</c:v>
                </c:pt>
                <c:pt idx="13">
                  <c:v>-0.57960632273683266</c:v>
                </c:pt>
                <c:pt idx="14">
                  <c:v>-0.43275856868803575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0.34478146236520923</c:v>
                </c:pt>
                <c:pt idx="1">
                  <c:v>0.58952771911320401</c:v>
                </c:pt>
                <c:pt idx="2">
                  <c:v>0.60082370019388076</c:v>
                </c:pt>
                <c:pt idx="3">
                  <c:v>0.45397594614508385</c:v>
                </c:pt>
                <c:pt idx="4">
                  <c:v>0.69307421235274047</c:v>
                </c:pt>
                <c:pt idx="5">
                  <c:v>-7.5052501133274108E-2</c:v>
                </c:pt>
                <c:pt idx="6">
                  <c:v>0.10568319615755284</c:v>
                </c:pt>
                <c:pt idx="7">
                  <c:v>0.36172543398622437</c:v>
                </c:pt>
                <c:pt idx="8">
                  <c:v>0.42197066641649994</c:v>
                </c:pt>
                <c:pt idx="9">
                  <c:v>0.26194426777358037</c:v>
                </c:pt>
                <c:pt idx="10">
                  <c:v>0.37866940560723927</c:v>
                </c:pt>
                <c:pt idx="11">
                  <c:v>0.18287240020884354</c:v>
                </c:pt>
                <c:pt idx="12">
                  <c:v>0.25064828669290362</c:v>
                </c:pt>
                <c:pt idx="13">
                  <c:v>0.27324024885425691</c:v>
                </c:pt>
                <c:pt idx="14">
                  <c:v>6.0499271834846047E-2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-0.21060427410139426</c:v>
                </c:pt>
                <c:pt idx="1">
                  <c:v>-0.10329245383496577</c:v>
                </c:pt>
                <c:pt idx="2">
                  <c:v>0.1960510448029662</c:v>
                </c:pt>
                <c:pt idx="3">
                  <c:v>0.20546436237019683</c:v>
                </c:pt>
                <c:pt idx="4">
                  <c:v>-0.12776707950976529</c:v>
                </c:pt>
                <c:pt idx="5">
                  <c:v>-0.56266235111581753</c:v>
                </c:pt>
                <c:pt idx="6">
                  <c:v>-0.31979875788126888</c:v>
                </c:pt>
                <c:pt idx="7">
                  <c:v>-5.8108529512259088E-2</c:v>
                </c:pt>
                <c:pt idx="8">
                  <c:v>-7.3169837619827982E-2</c:v>
                </c:pt>
                <c:pt idx="9">
                  <c:v>-5.0577875458474586E-2</c:v>
                </c:pt>
                <c:pt idx="10">
                  <c:v>-0.49488646463175751</c:v>
                </c:pt>
                <c:pt idx="11">
                  <c:v>-0.52500908084689524</c:v>
                </c:pt>
                <c:pt idx="12">
                  <c:v>-0.48547314706452693</c:v>
                </c:pt>
                <c:pt idx="13">
                  <c:v>-0.5061824457124342</c:v>
                </c:pt>
                <c:pt idx="14">
                  <c:v>-0.53065707138723361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-3.7399230864351818E-2</c:v>
                </c:pt>
                <c:pt idx="1">
                  <c:v>0.12827515831890612</c:v>
                </c:pt>
                <c:pt idx="2">
                  <c:v>0.42385332992994607</c:v>
                </c:pt>
                <c:pt idx="3">
                  <c:v>0.24500029615256524</c:v>
                </c:pt>
                <c:pt idx="4">
                  <c:v>-0.44405454976871239</c:v>
                </c:pt>
                <c:pt idx="5">
                  <c:v>-0.19742562950727149</c:v>
                </c:pt>
                <c:pt idx="6">
                  <c:v>-0.4064012794997901</c:v>
                </c:pt>
                <c:pt idx="7">
                  <c:v>-6.9404510592935731E-2</c:v>
                </c:pt>
                <c:pt idx="8">
                  <c:v>-0.11082310788875027</c:v>
                </c:pt>
                <c:pt idx="9">
                  <c:v>-2.2337922756782924E-2</c:v>
                </c:pt>
                <c:pt idx="10">
                  <c:v>-0.38757464436532896</c:v>
                </c:pt>
                <c:pt idx="11">
                  <c:v>-0.1597723592383492</c:v>
                </c:pt>
                <c:pt idx="12">
                  <c:v>-2.422058627022905E-2</c:v>
                </c:pt>
                <c:pt idx="13">
                  <c:v>-0.57960632273683266</c:v>
                </c:pt>
                <c:pt idx="14">
                  <c:v>-0.43275856868803575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318.52440315180593</c:v>
                  </c:pt>
                  <c:pt idx="1">
                    <c:v>635.02383986937468</c:v>
                  </c:pt>
                  <c:pt idx="2">
                    <c:v>1012.8929620198646</c:v>
                  </c:pt>
                  <c:pt idx="3">
                    <c:v>477.16664123974749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318.52440315180593</c:v>
                  </c:pt>
                  <c:pt idx="1">
                    <c:v>635.02383986937468</c:v>
                  </c:pt>
                  <c:pt idx="2">
                    <c:v>1012.8929620198646</c:v>
                  </c:pt>
                  <c:pt idx="3">
                    <c:v>477.16664123974749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2012.2671830394702</c:v>
                </c:pt>
                <c:pt idx="1">
                  <c:v>5529.4959138731156</c:v>
                </c:pt>
                <c:pt idx="2">
                  <c:v>6244.4876509850401</c:v>
                </c:pt>
                <c:pt idx="3">
                  <c:v>8585.0049652463586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308.60146545068784</c:v>
                  </c:pt>
                  <c:pt idx="1">
                    <c:v>828.03010939320279</c:v>
                  </c:pt>
                  <c:pt idx="2">
                    <c:v>884.65760957627458</c:v>
                  </c:pt>
                  <c:pt idx="3">
                    <c:v>922.62659036879529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308.60146545068784</c:v>
                  </c:pt>
                  <c:pt idx="1">
                    <c:v>828.03010939320279</c:v>
                  </c:pt>
                  <c:pt idx="2">
                    <c:v>884.65760957627458</c:v>
                  </c:pt>
                  <c:pt idx="3">
                    <c:v>922.62659036879529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3182.1443059816088</c:v>
                </c:pt>
                <c:pt idx="1">
                  <c:v>6150.486957027174</c:v>
                </c:pt>
                <c:pt idx="2">
                  <c:v>7147.1358957636894</c:v>
                </c:pt>
                <c:pt idx="3">
                  <c:v>11833.497008132184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781.46894420716069</c:v>
                  </c:pt>
                  <c:pt idx="1">
                    <c:v>892.81663017519816</c:v>
                  </c:pt>
                  <c:pt idx="2">
                    <c:v>2203.0348516265694</c:v>
                  </c:pt>
                  <c:pt idx="3">
                    <c:v>2635.1594732333992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781.46894420716069</c:v>
                  </c:pt>
                  <c:pt idx="1">
                    <c:v>892.81663017519816</c:v>
                  </c:pt>
                  <c:pt idx="2">
                    <c:v>2203.0348516265694</c:v>
                  </c:pt>
                  <c:pt idx="3">
                    <c:v>2635.1594732333992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3758.4658594918465</c:v>
                </c:pt>
                <c:pt idx="1">
                  <c:v>9269.6505726215146</c:v>
                </c:pt>
                <c:pt idx="2">
                  <c:v>10803.722904608887</c:v>
                </c:pt>
                <c:pt idx="3">
                  <c:v>14529.660833092445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2144.5062663455647</c:v>
                </c:pt>
                <c:pt idx="1">
                  <c:v>3612.3049435251364</c:v>
                </c:pt>
                <c:pt idx="2">
                  <c:v>5374.9345814063054</c:v>
                </c:pt>
                <c:pt idx="3">
                  <c:v>8852.5603966891085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2665.442051170206</c:v>
                </c:pt>
                <c:pt idx="1">
                  <c:v>7166.3875444464811</c:v>
                </c:pt>
                <c:pt idx="2">
                  <c:v>8014.6180177601891</c:v>
                </c:pt>
                <c:pt idx="3">
                  <c:v>9351.6620961837634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2313.5559014472124</c:v>
                </c:pt>
                <c:pt idx="1">
                  <c:v>6504.4923708890256</c:v>
                </c:pt>
                <c:pt idx="2">
                  <c:v>4162.1473579167578</c:v>
                </c:pt>
                <c:pt idx="3">
                  <c:v>2703.1123044560509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2141.1490987042125</c:v>
                </c:pt>
                <c:pt idx="1">
                  <c:v>4673.153257310898</c:v>
                </c:pt>
                <c:pt idx="2">
                  <c:v>4427.5552017219361</c:v>
                </c:pt>
                <c:pt idx="3">
                  <c:v>9775.7231849754353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796.68259753015457</c:v>
                </c:pt>
                <c:pt idx="1">
                  <c:v>5691.1414531940336</c:v>
                </c:pt>
                <c:pt idx="2">
                  <c:v>9243.1830961200139</c:v>
                </c:pt>
                <c:pt idx="3">
                  <c:v>7499.3969153225644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3768.6256650883565</c:v>
                </c:pt>
                <c:pt idx="1">
                  <c:v>7661.0074667921344</c:v>
                </c:pt>
                <c:pt idx="2">
                  <c:v>6744.3340918869835</c:v>
                </c:pt>
                <c:pt idx="3">
                  <c:v>13526.637441057757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3993.51424485498</c:v>
                </c:pt>
                <c:pt idx="1">
                  <c:v>7851.0498127032315</c:v>
                </c:pt>
                <c:pt idx="2">
                  <c:v>10524.91304764885</c:v>
                </c:pt>
                <c:pt idx="3">
                  <c:v>11486.4541766888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2703.1123044560509</c:v>
                </c:pt>
                <c:pt idx="1">
                  <c:v>5790.8984817429046</c:v>
                </c:pt>
                <c:pt idx="2">
                  <c:v>6273.6725172746537</c:v>
                </c:pt>
                <c:pt idx="3">
                  <c:v>14372.127199349123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3076.8741917130183</c:v>
                </c:pt>
                <c:pt idx="1">
                  <c:v>6198.5569326044933</c:v>
                </c:pt>
                <c:pt idx="2">
                  <c:v>6841.242109683144</c:v>
                </c:pt>
                <c:pt idx="3">
                  <c:v>9737.1282527610783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2368.5951237956374</c:v>
                </c:pt>
                <c:pt idx="1">
                  <c:v>3250.9220912931064</c:v>
                </c:pt>
                <c:pt idx="2">
                  <c:v>5351.5177123248141</c:v>
                </c:pt>
                <c:pt idx="3">
                  <c:v>10045.137970804164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1625.5947786346915</c:v>
                </c:pt>
                <c:pt idx="1">
                  <c:v>8184.8089232510811</c:v>
                </c:pt>
                <c:pt idx="2">
                  <c:v>7859.5635231981742</c:v>
                </c:pt>
                <c:pt idx="3">
                  <c:v>15891.56627903178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5232.0675217308872</c:v>
                </c:pt>
                <c:pt idx="1">
                  <c:v>11366.129289811146</c:v>
                </c:pt>
                <c:pt idx="2">
                  <c:v>9699.0831296393499</c:v>
                </c:pt>
                <c:pt idx="3">
                  <c:v>7133.3573466847884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4652.7270164756719</c:v>
                </c:pt>
                <c:pt idx="1">
                  <c:v>10851.216413683025</c:v>
                </c:pt>
                <c:pt idx="2">
                  <c:v>8046.8151714421419</c:v>
                </c:pt>
                <c:pt idx="3">
                  <c:v>21472.470117283054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2113.5670092240193</c:v>
                </c:pt>
                <c:pt idx="1">
                  <c:v>6471.945338693582</c:v>
                </c:pt>
                <c:pt idx="2">
                  <c:v>8895.2872275389764</c:v>
                </c:pt>
                <c:pt idx="3">
                  <c:v>9970.2139862723434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5168.3729713939647</c:v>
                </c:pt>
                <c:pt idx="1">
                  <c:v>9474.1528976687405</c:v>
                </c:pt>
                <c:pt idx="2">
                  <c:v>19517.865471225792</c:v>
                </c:pt>
                <c:pt idx="3">
                  <c:v>18180.696436190257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2144.5062663455647</c:v>
                </c:pt>
                <c:pt idx="1">
                  <c:v>2665.442051170206</c:v>
                </c:pt>
                <c:pt idx="2">
                  <c:v>2313.5559014472124</c:v>
                </c:pt>
                <c:pt idx="3">
                  <c:v>2141.1490987042125</c:v>
                </c:pt>
                <c:pt idx="4">
                  <c:v>796.68259753015457</c:v>
                </c:pt>
                <c:pt idx="5">
                  <c:v>3768.6256650883565</c:v>
                </c:pt>
                <c:pt idx="6">
                  <c:v>3993.51424485498</c:v>
                </c:pt>
                <c:pt idx="7">
                  <c:v>2703.1123044560509</c:v>
                </c:pt>
                <c:pt idx="8">
                  <c:v>3076.8741917130183</c:v>
                </c:pt>
                <c:pt idx="9">
                  <c:v>2368.5951237956374</c:v>
                </c:pt>
                <c:pt idx="10">
                  <c:v>1625.5947786346915</c:v>
                </c:pt>
                <c:pt idx="11">
                  <c:v>5232.0675217308872</c:v>
                </c:pt>
                <c:pt idx="12">
                  <c:v>4652.7270164756719</c:v>
                </c:pt>
                <c:pt idx="13">
                  <c:v>2113.5670092240193</c:v>
                </c:pt>
                <c:pt idx="14">
                  <c:v>5168.3729713939647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3612.3049435251364</c:v>
                </c:pt>
                <c:pt idx="1">
                  <c:v>7166.3875444464811</c:v>
                </c:pt>
                <c:pt idx="2">
                  <c:v>6504.4923708890256</c:v>
                </c:pt>
                <c:pt idx="3">
                  <c:v>4673.153257310898</c:v>
                </c:pt>
                <c:pt idx="4">
                  <c:v>5691.1414531940336</c:v>
                </c:pt>
                <c:pt idx="5">
                  <c:v>7661.0074667921344</c:v>
                </c:pt>
                <c:pt idx="6">
                  <c:v>7851.0498127032315</c:v>
                </c:pt>
                <c:pt idx="7">
                  <c:v>5790.8984817429046</c:v>
                </c:pt>
                <c:pt idx="8">
                  <c:v>6198.5569326044933</c:v>
                </c:pt>
                <c:pt idx="9">
                  <c:v>3250.9220912931064</c:v>
                </c:pt>
                <c:pt idx="10">
                  <c:v>8184.8089232510811</c:v>
                </c:pt>
                <c:pt idx="11">
                  <c:v>11366.129289811146</c:v>
                </c:pt>
                <c:pt idx="12">
                  <c:v>10851.216413683025</c:v>
                </c:pt>
                <c:pt idx="13">
                  <c:v>6471.945338693582</c:v>
                </c:pt>
                <c:pt idx="14">
                  <c:v>9474.1528976687405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5374.9345814063054</c:v>
                </c:pt>
                <c:pt idx="1">
                  <c:v>8014.6180177601891</c:v>
                </c:pt>
                <c:pt idx="2">
                  <c:v>4162.1473579167578</c:v>
                </c:pt>
                <c:pt idx="3">
                  <c:v>4427.5552017219361</c:v>
                </c:pt>
                <c:pt idx="4">
                  <c:v>9243.1830961200139</c:v>
                </c:pt>
                <c:pt idx="5">
                  <c:v>6744.3340918869835</c:v>
                </c:pt>
                <c:pt idx="6">
                  <c:v>10524.91304764885</c:v>
                </c:pt>
                <c:pt idx="7">
                  <c:v>6273.6725172746537</c:v>
                </c:pt>
                <c:pt idx="8">
                  <c:v>6841.242109683144</c:v>
                </c:pt>
                <c:pt idx="9">
                  <c:v>5351.5177123248141</c:v>
                </c:pt>
                <c:pt idx="10">
                  <c:v>7859.5635231981742</c:v>
                </c:pt>
                <c:pt idx="11">
                  <c:v>9699.0831296393499</c:v>
                </c:pt>
                <c:pt idx="12">
                  <c:v>8046.8151714421419</c:v>
                </c:pt>
                <c:pt idx="13">
                  <c:v>8895.2872275389764</c:v>
                </c:pt>
                <c:pt idx="14">
                  <c:v>19517.865471225792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2144.5062663455647</c:v>
                </c:pt>
                <c:pt idx="1">
                  <c:v>2665.442051170206</c:v>
                </c:pt>
                <c:pt idx="2">
                  <c:v>2313.5559014472124</c:v>
                </c:pt>
                <c:pt idx="3">
                  <c:v>2141.1490987042125</c:v>
                </c:pt>
                <c:pt idx="4">
                  <c:v>796.68259753015457</c:v>
                </c:pt>
                <c:pt idx="5">
                  <c:v>3768.6256650883565</c:v>
                </c:pt>
                <c:pt idx="6">
                  <c:v>3993.51424485498</c:v>
                </c:pt>
                <c:pt idx="7">
                  <c:v>2703.1123044560509</c:v>
                </c:pt>
                <c:pt idx="8">
                  <c:v>3076.8741917130183</c:v>
                </c:pt>
                <c:pt idx="9">
                  <c:v>2368.5951237956374</c:v>
                </c:pt>
                <c:pt idx="10">
                  <c:v>1625.5947786346915</c:v>
                </c:pt>
                <c:pt idx="11">
                  <c:v>5232.0675217308872</c:v>
                </c:pt>
                <c:pt idx="12">
                  <c:v>4652.7270164756719</c:v>
                </c:pt>
                <c:pt idx="13">
                  <c:v>2113.5670092240193</c:v>
                </c:pt>
                <c:pt idx="14">
                  <c:v>5168.3729713939647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3612.3049435251364</c:v>
                </c:pt>
                <c:pt idx="1">
                  <c:v>7166.3875444464811</c:v>
                </c:pt>
                <c:pt idx="2">
                  <c:v>6504.4923708890256</c:v>
                </c:pt>
                <c:pt idx="3">
                  <c:v>4673.153257310898</c:v>
                </c:pt>
                <c:pt idx="4">
                  <c:v>5691.1414531940336</c:v>
                </c:pt>
                <c:pt idx="5">
                  <c:v>7661.0074667921344</c:v>
                </c:pt>
                <c:pt idx="6">
                  <c:v>7851.0498127032315</c:v>
                </c:pt>
                <c:pt idx="7">
                  <c:v>5790.8984817429046</c:v>
                </c:pt>
                <c:pt idx="8">
                  <c:v>6198.5569326044933</c:v>
                </c:pt>
                <c:pt idx="9">
                  <c:v>3250.9220912931064</c:v>
                </c:pt>
                <c:pt idx="10">
                  <c:v>8184.8089232510811</c:v>
                </c:pt>
                <c:pt idx="11">
                  <c:v>11366.129289811146</c:v>
                </c:pt>
                <c:pt idx="12">
                  <c:v>10851.216413683025</c:v>
                </c:pt>
                <c:pt idx="13">
                  <c:v>6471.945338693582</c:v>
                </c:pt>
                <c:pt idx="14">
                  <c:v>9474.1528976687405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5374.9345814063054</c:v>
                </c:pt>
                <c:pt idx="1">
                  <c:v>8014.6180177601891</c:v>
                </c:pt>
                <c:pt idx="2">
                  <c:v>4162.1473579167578</c:v>
                </c:pt>
                <c:pt idx="3">
                  <c:v>4427.5552017219361</c:v>
                </c:pt>
                <c:pt idx="4">
                  <c:v>9243.1830961200139</c:v>
                </c:pt>
                <c:pt idx="5">
                  <c:v>6744.3340918869835</c:v>
                </c:pt>
                <c:pt idx="6">
                  <c:v>10524.91304764885</c:v>
                </c:pt>
                <c:pt idx="7">
                  <c:v>6273.6725172746537</c:v>
                </c:pt>
                <c:pt idx="8">
                  <c:v>6841.242109683144</c:v>
                </c:pt>
                <c:pt idx="9">
                  <c:v>5351.5177123248141</c:v>
                </c:pt>
                <c:pt idx="10">
                  <c:v>7859.5635231981742</c:v>
                </c:pt>
                <c:pt idx="11">
                  <c:v>9699.0831296393499</c:v>
                </c:pt>
                <c:pt idx="12">
                  <c:v>8046.8151714421419</c:v>
                </c:pt>
                <c:pt idx="13">
                  <c:v>8895.2872275389764</c:v>
                </c:pt>
                <c:pt idx="14">
                  <c:v>19517.865471225792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2144.5062663455647</c:v>
                </c:pt>
                <c:pt idx="1">
                  <c:v>2665.442051170206</c:v>
                </c:pt>
                <c:pt idx="2">
                  <c:v>2313.5559014472124</c:v>
                </c:pt>
                <c:pt idx="3">
                  <c:v>2141.1490987042125</c:v>
                </c:pt>
                <c:pt idx="4">
                  <c:v>796.68259753015457</c:v>
                </c:pt>
                <c:pt idx="5">
                  <c:v>3768.6256650883565</c:v>
                </c:pt>
                <c:pt idx="6">
                  <c:v>3993.51424485498</c:v>
                </c:pt>
                <c:pt idx="7">
                  <c:v>2703.1123044560509</c:v>
                </c:pt>
                <c:pt idx="8">
                  <c:v>3076.8741917130183</c:v>
                </c:pt>
                <c:pt idx="9">
                  <c:v>2368.5951237956374</c:v>
                </c:pt>
                <c:pt idx="10">
                  <c:v>1625.5947786346915</c:v>
                </c:pt>
                <c:pt idx="11">
                  <c:v>5232.0675217308872</c:v>
                </c:pt>
                <c:pt idx="12">
                  <c:v>4652.7270164756719</c:v>
                </c:pt>
                <c:pt idx="13">
                  <c:v>2113.5670092240193</c:v>
                </c:pt>
                <c:pt idx="14">
                  <c:v>5168.3729713939647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3612.3049435251364</c:v>
                </c:pt>
                <c:pt idx="1">
                  <c:v>7166.3875444464811</c:v>
                </c:pt>
                <c:pt idx="2">
                  <c:v>6504.4923708890256</c:v>
                </c:pt>
                <c:pt idx="3">
                  <c:v>4673.153257310898</c:v>
                </c:pt>
                <c:pt idx="4">
                  <c:v>5691.1414531940336</c:v>
                </c:pt>
                <c:pt idx="5">
                  <c:v>7661.0074667921344</c:v>
                </c:pt>
                <c:pt idx="6">
                  <c:v>7851.0498127032315</c:v>
                </c:pt>
                <c:pt idx="7">
                  <c:v>5790.8984817429046</c:v>
                </c:pt>
                <c:pt idx="8">
                  <c:v>6198.5569326044933</c:v>
                </c:pt>
                <c:pt idx="9">
                  <c:v>3250.9220912931064</c:v>
                </c:pt>
                <c:pt idx="10">
                  <c:v>8184.8089232510811</c:v>
                </c:pt>
                <c:pt idx="11">
                  <c:v>11366.129289811146</c:v>
                </c:pt>
                <c:pt idx="12">
                  <c:v>10851.216413683025</c:v>
                </c:pt>
                <c:pt idx="13">
                  <c:v>6471.945338693582</c:v>
                </c:pt>
                <c:pt idx="14">
                  <c:v>9474.1528976687405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5374.9345814063054</c:v>
                </c:pt>
                <c:pt idx="1">
                  <c:v>8014.6180177601891</c:v>
                </c:pt>
                <c:pt idx="2">
                  <c:v>4162.1473579167578</c:v>
                </c:pt>
                <c:pt idx="3">
                  <c:v>4427.5552017219361</c:v>
                </c:pt>
                <c:pt idx="4">
                  <c:v>9243.1830961200139</c:v>
                </c:pt>
                <c:pt idx="5">
                  <c:v>6744.3340918869835</c:v>
                </c:pt>
                <c:pt idx="6">
                  <c:v>10524.91304764885</c:v>
                </c:pt>
                <c:pt idx="7">
                  <c:v>6273.6725172746537</c:v>
                </c:pt>
                <c:pt idx="8">
                  <c:v>6841.242109683144</c:v>
                </c:pt>
                <c:pt idx="9">
                  <c:v>5351.5177123248141</c:v>
                </c:pt>
                <c:pt idx="10">
                  <c:v>7859.5635231981742</c:v>
                </c:pt>
                <c:pt idx="11">
                  <c:v>9699.0831296393499</c:v>
                </c:pt>
                <c:pt idx="12">
                  <c:v>8046.8151714421419</c:v>
                </c:pt>
                <c:pt idx="13">
                  <c:v>8895.2872275389764</c:v>
                </c:pt>
                <c:pt idx="14">
                  <c:v>19517.865471225792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9</xdr:row>
      <xdr:rowOff>11642</xdr:rowOff>
    </xdr:from>
    <xdr:to>
      <xdr:col>24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24</xdr:row>
      <xdr:rowOff>21167</xdr:rowOff>
    </xdr:from>
    <xdr:to>
      <xdr:col>24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6"/>
  <sheetViews>
    <sheetView topLeftCell="H7" zoomScale="90" zoomScaleNormal="90" workbookViewId="0">
      <selection activeCell="G67" sqref="G67"/>
    </sheetView>
  </sheetViews>
  <sheetFormatPr defaultRowHeight="16.5" x14ac:dyDescent="0.3"/>
  <cols>
    <col min="1" max="1" width="13.85546875" style="2" customWidth="1"/>
    <col min="2" max="2" width="12.42578125" style="2" bestFit="1" customWidth="1"/>
    <col min="3" max="3" width="14.5703125" style="15" customWidth="1"/>
    <col min="4" max="4" width="11.42578125" style="15" customWidth="1"/>
    <col min="5" max="5" width="8.7109375" style="15"/>
    <col min="6" max="6" width="9.28515625" style="15" customWidth="1"/>
    <col min="7" max="7" width="10.5703125" style="15" customWidth="1"/>
    <col min="8" max="10" width="8.7109375" style="15"/>
    <col min="12" max="12" width="9.5703125" customWidth="1"/>
    <col min="14" max="14" width="9.42578125" customWidth="1"/>
    <col min="16" max="16" width="13.5703125" customWidth="1"/>
    <col min="17" max="17" width="11.5703125" customWidth="1"/>
  </cols>
  <sheetData>
    <row r="2" spans="1:28" x14ac:dyDescent="0.3">
      <c r="A2" s="3" t="s">
        <v>10</v>
      </c>
      <c r="H2" s="78"/>
    </row>
    <row r="3" spans="1:28" x14ac:dyDescent="0.3">
      <c r="A3" s="3" t="s">
        <v>11</v>
      </c>
      <c r="H3" s="78"/>
    </row>
    <row r="4" spans="1:28" x14ac:dyDescent="0.3">
      <c r="A4" s="3" t="s">
        <v>47</v>
      </c>
      <c r="B4" s="4"/>
      <c r="H4" s="78"/>
      <c r="K4" s="1"/>
    </row>
    <row r="5" spans="1:28" ht="17.25" thickBot="1" x14ac:dyDescent="0.35">
      <c r="B5" s="4"/>
      <c r="H5" s="78"/>
      <c r="K5" s="1"/>
    </row>
    <row r="6" spans="1:28" ht="50.25" thickBot="1" x14ac:dyDescent="0.3">
      <c r="A6" s="23" t="s">
        <v>4</v>
      </c>
      <c r="B6" s="24" t="s">
        <v>3</v>
      </c>
      <c r="C6" s="24" t="s">
        <v>1</v>
      </c>
      <c r="D6" s="24" t="s">
        <v>5</v>
      </c>
      <c r="E6" s="24" t="s">
        <v>2</v>
      </c>
      <c r="F6" s="24" t="s">
        <v>35</v>
      </c>
      <c r="G6" s="25" t="s">
        <v>6</v>
      </c>
      <c r="H6" s="25" t="s">
        <v>7</v>
      </c>
      <c r="I6" s="25" t="s">
        <v>8</v>
      </c>
      <c r="J6" s="26" t="s">
        <v>9</v>
      </c>
      <c r="L6" s="76" t="s">
        <v>12</v>
      </c>
    </row>
    <row r="7" spans="1:28" ht="17.25" thickBot="1" x14ac:dyDescent="0.35">
      <c r="A7" s="77">
        <v>44530</v>
      </c>
      <c r="B7" s="19">
        <v>44530</v>
      </c>
      <c r="C7" s="20" t="s">
        <v>18</v>
      </c>
      <c r="D7" s="20" t="s">
        <v>19</v>
      </c>
      <c r="E7" s="20">
        <v>10</v>
      </c>
      <c r="F7" s="20">
        <v>1</v>
      </c>
      <c r="G7" s="20">
        <v>696</v>
      </c>
      <c r="H7" s="20">
        <v>283675</v>
      </c>
      <c r="I7" s="20">
        <f>(G7*$AA$14)+$AA$15</f>
        <v>0.34478146236520923</v>
      </c>
      <c r="J7" s="21">
        <f t="shared" ref="J7:J38" si="0">(H7*$AA$29)+$AA$30</f>
        <v>2144.5062663455647</v>
      </c>
      <c r="L7" s="124" t="s">
        <v>13</v>
      </c>
      <c r="M7" s="125" t="s">
        <v>14</v>
      </c>
      <c r="N7" s="125" t="s">
        <v>0</v>
      </c>
      <c r="O7" s="126" t="s">
        <v>26</v>
      </c>
      <c r="P7" s="127" t="s">
        <v>27</v>
      </c>
    </row>
    <row r="8" spans="1:28" x14ac:dyDescent="0.3">
      <c r="A8" s="85">
        <v>44530</v>
      </c>
      <c r="B8" s="13">
        <v>44530</v>
      </c>
      <c r="C8" s="16" t="s">
        <v>18</v>
      </c>
      <c r="D8" s="16" t="s">
        <v>19</v>
      </c>
      <c r="E8" s="16">
        <v>20</v>
      </c>
      <c r="F8" s="16">
        <v>2</v>
      </c>
      <c r="G8" s="16">
        <v>401</v>
      </c>
      <c r="H8" s="16">
        <v>459872</v>
      </c>
      <c r="I8" s="16">
        <f t="shared" ref="I8:I66" si="1">(G8*$AA$14)+$AA$15</f>
        <v>-0.21060427410139426</v>
      </c>
      <c r="J8" s="17">
        <f t="shared" si="0"/>
        <v>3612.3049435251364</v>
      </c>
      <c r="L8" s="122" t="s">
        <v>28</v>
      </c>
      <c r="M8" s="53">
        <v>7.5</v>
      </c>
      <c r="N8" s="53">
        <v>3585</v>
      </c>
      <c r="O8" s="54">
        <f>AVERAGE(M8:M10)</f>
        <v>7.5</v>
      </c>
      <c r="P8" s="55">
        <f>AVERAGE(N8:N10)</f>
        <v>4379.333333333333</v>
      </c>
    </row>
    <row r="9" spans="1:28" x14ac:dyDescent="0.3">
      <c r="A9" s="85">
        <v>44530</v>
      </c>
      <c r="B9" s="13">
        <v>44530</v>
      </c>
      <c r="C9" s="16" t="s">
        <v>18</v>
      </c>
      <c r="D9" s="16" t="s">
        <v>19</v>
      </c>
      <c r="E9" s="16">
        <v>35</v>
      </c>
      <c r="F9" s="16">
        <v>3</v>
      </c>
      <c r="G9" s="16">
        <v>493</v>
      </c>
      <c r="H9" s="16">
        <v>671461</v>
      </c>
      <c r="I9" s="16">
        <f t="shared" si="1"/>
        <v>-3.7399230864351818E-2</v>
      </c>
      <c r="J9" s="17">
        <f t="shared" si="0"/>
        <v>5374.9345814063054</v>
      </c>
      <c r="L9" s="123" t="s">
        <v>28</v>
      </c>
      <c r="M9" s="56">
        <v>7.5</v>
      </c>
      <c r="N9" s="56">
        <v>4816</v>
      </c>
      <c r="O9" s="57"/>
      <c r="P9" s="58"/>
      <c r="AB9" s="2"/>
    </row>
    <row r="10" spans="1:28" ht="17.25" thickBot="1" x14ac:dyDescent="0.35">
      <c r="A10" s="85">
        <v>44530</v>
      </c>
      <c r="B10" s="13">
        <v>44530</v>
      </c>
      <c r="C10" s="16" t="s">
        <v>18</v>
      </c>
      <c r="D10" s="16" t="s">
        <v>19</v>
      </c>
      <c r="E10" s="16">
        <v>50</v>
      </c>
      <c r="F10" s="16">
        <v>4</v>
      </c>
      <c r="G10" s="16">
        <v>281</v>
      </c>
      <c r="H10" s="16">
        <v>1088921</v>
      </c>
      <c r="I10" s="16">
        <f t="shared" si="1"/>
        <v>-0.436523895714928</v>
      </c>
      <c r="J10" s="17">
        <f t="shared" si="0"/>
        <v>8852.5603966891085</v>
      </c>
      <c r="L10" s="128" t="s">
        <v>28</v>
      </c>
      <c r="M10" s="65">
        <v>7.5</v>
      </c>
      <c r="N10" s="59">
        <v>4737</v>
      </c>
      <c r="O10" s="59"/>
      <c r="P10" s="60"/>
      <c r="AB10" s="2"/>
    </row>
    <row r="11" spans="1:28" x14ac:dyDescent="0.3">
      <c r="A11" s="86">
        <v>44530</v>
      </c>
      <c r="B11" s="28">
        <v>44530</v>
      </c>
      <c r="C11" s="29" t="s">
        <v>18</v>
      </c>
      <c r="D11" s="29" t="s">
        <v>20</v>
      </c>
      <c r="E11" s="29">
        <v>10</v>
      </c>
      <c r="F11" s="29">
        <v>5</v>
      </c>
      <c r="G11" s="29">
        <v>826</v>
      </c>
      <c r="H11" s="29">
        <v>346209</v>
      </c>
      <c r="I11" s="29">
        <f t="shared" si="1"/>
        <v>0.58952771911320401</v>
      </c>
      <c r="J11" s="30">
        <f t="shared" si="0"/>
        <v>2665.442051170206</v>
      </c>
      <c r="L11" s="64" t="s">
        <v>29</v>
      </c>
      <c r="M11" s="53">
        <v>5</v>
      </c>
      <c r="N11" s="53">
        <v>3122</v>
      </c>
      <c r="O11" s="54">
        <f>AVERAGE(M11:M13)</f>
        <v>5</v>
      </c>
      <c r="P11" s="55">
        <f>AVERAGE(N11:N13)</f>
        <v>3256.6666666666665</v>
      </c>
      <c r="AB11" s="2"/>
    </row>
    <row r="12" spans="1:28" x14ac:dyDescent="0.3">
      <c r="A12" s="87">
        <v>44530</v>
      </c>
      <c r="B12" s="31">
        <v>44530</v>
      </c>
      <c r="C12" s="32" t="s">
        <v>18</v>
      </c>
      <c r="D12" s="32" t="s">
        <v>20</v>
      </c>
      <c r="E12" s="32">
        <v>20</v>
      </c>
      <c r="F12" s="32">
        <v>6</v>
      </c>
      <c r="G12" s="32">
        <v>458</v>
      </c>
      <c r="H12" s="32">
        <v>886510</v>
      </c>
      <c r="I12" s="32">
        <f t="shared" si="1"/>
        <v>-0.10329245383496577</v>
      </c>
      <c r="J12" s="33">
        <f t="shared" si="0"/>
        <v>7166.3875444464811</v>
      </c>
      <c r="L12" s="9" t="s">
        <v>29</v>
      </c>
      <c r="M12" s="56">
        <v>5</v>
      </c>
      <c r="N12" s="56">
        <v>3354</v>
      </c>
      <c r="O12" s="57"/>
      <c r="P12" s="58"/>
      <c r="AB12" s="2"/>
    </row>
    <row r="13" spans="1:28" ht="17.25" thickBot="1" x14ac:dyDescent="0.35">
      <c r="A13" s="87">
        <v>44530</v>
      </c>
      <c r="B13" s="31">
        <v>44530</v>
      </c>
      <c r="C13" s="32" t="s">
        <v>18</v>
      </c>
      <c r="D13" s="32" t="s">
        <v>20</v>
      </c>
      <c r="E13" s="32">
        <v>35</v>
      </c>
      <c r="F13" s="32">
        <v>7</v>
      </c>
      <c r="G13" s="32">
        <v>581</v>
      </c>
      <c r="H13" s="32">
        <v>988333</v>
      </c>
      <c r="I13" s="32">
        <f t="shared" si="1"/>
        <v>0.12827515831890612</v>
      </c>
      <c r="J13" s="33">
        <f t="shared" si="0"/>
        <v>8014.6180177601891</v>
      </c>
      <c r="L13" s="11" t="s">
        <v>29</v>
      </c>
      <c r="M13" s="65">
        <v>5</v>
      </c>
      <c r="N13" s="65">
        <v>3294</v>
      </c>
      <c r="O13" s="59"/>
      <c r="P13" s="60"/>
      <c r="AB13" s="2"/>
    </row>
    <row r="14" spans="1:28" ht="17.25" thickBot="1" x14ac:dyDescent="0.35">
      <c r="A14" s="87">
        <v>44530</v>
      </c>
      <c r="B14" s="31">
        <v>44530</v>
      </c>
      <c r="C14" s="32" t="s">
        <v>18</v>
      </c>
      <c r="D14" s="32" t="s">
        <v>20</v>
      </c>
      <c r="E14" s="32">
        <v>50</v>
      </c>
      <c r="F14" s="32">
        <v>8</v>
      </c>
      <c r="G14" s="32">
        <v>475</v>
      </c>
      <c r="H14" s="32">
        <v>1148834</v>
      </c>
      <c r="I14" s="32">
        <f t="shared" si="1"/>
        <v>-7.1287174106381856E-2</v>
      </c>
      <c r="J14" s="33">
        <f t="shared" si="0"/>
        <v>9351.6620961837634</v>
      </c>
      <c r="L14" s="64" t="s">
        <v>30</v>
      </c>
      <c r="M14" s="53">
        <v>3</v>
      </c>
      <c r="N14" s="53">
        <v>2198</v>
      </c>
      <c r="O14" s="54">
        <f>AVERAGE(M14:M16)</f>
        <v>3</v>
      </c>
      <c r="P14" s="55">
        <f>AVERAGE(N14:N16)</f>
        <v>2232.3333333333335</v>
      </c>
      <c r="Z14" s="3" t="s">
        <v>15</v>
      </c>
      <c r="AA14" s="2">
        <f>SLOPE(O8:O22,P8:P22)</f>
        <v>1.8826635134461139E-3</v>
      </c>
      <c r="AB14" s="2"/>
    </row>
    <row r="15" spans="1:28" x14ac:dyDescent="0.3">
      <c r="A15" s="77">
        <v>44530</v>
      </c>
      <c r="B15" s="19">
        <v>44530</v>
      </c>
      <c r="C15" s="20" t="s">
        <v>18</v>
      </c>
      <c r="D15" s="20" t="s">
        <v>21</v>
      </c>
      <c r="E15" s="20">
        <v>10</v>
      </c>
      <c r="F15" s="20">
        <v>9</v>
      </c>
      <c r="G15" s="20">
        <v>832</v>
      </c>
      <c r="H15" s="20">
        <v>303968</v>
      </c>
      <c r="I15" s="20">
        <f t="shared" si="1"/>
        <v>0.60082370019388076</v>
      </c>
      <c r="J15" s="21">
        <f t="shared" si="0"/>
        <v>2313.5559014472124</v>
      </c>
      <c r="L15" s="9" t="s">
        <v>30</v>
      </c>
      <c r="M15" s="56">
        <v>3</v>
      </c>
      <c r="N15" s="56">
        <v>2379</v>
      </c>
      <c r="O15" s="57"/>
      <c r="P15" s="58"/>
      <c r="Z15" s="3" t="s">
        <v>16</v>
      </c>
      <c r="AA15" s="2">
        <f>INTERCEPT(O8:O22,P8:P22)</f>
        <v>-0.96555234299328596</v>
      </c>
      <c r="AB15" s="2"/>
    </row>
    <row r="16" spans="1:28" ht="17.25" thickBot="1" x14ac:dyDescent="0.35">
      <c r="A16" s="85">
        <v>44530</v>
      </c>
      <c r="B16" s="13">
        <v>44530</v>
      </c>
      <c r="C16" s="16" t="s">
        <v>18</v>
      </c>
      <c r="D16" s="16" t="s">
        <v>21</v>
      </c>
      <c r="E16" s="16">
        <v>20</v>
      </c>
      <c r="F16" s="16">
        <v>10</v>
      </c>
      <c r="G16" s="16">
        <v>617</v>
      </c>
      <c r="H16" s="16">
        <v>807055</v>
      </c>
      <c r="I16" s="16">
        <f t="shared" si="1"/>
        <v>0.1960510448029662</v>
      </c>
      <c r="J16" s="17">
        <f t="shared" si="0"/>
        <v>6504.4923708890256</v>
      </c>
      <c r="L16" s="11" t="s">
        <v>30</v>
      </c>
      <c r="M16" s="65">
        <v>3</v>
      </c>
      <c r="N16" s="65">
        <v>2120</v>
      </c>
      <c r="O16" s="59"/>
      <c r="P16" s="60"/>
      <c r="Z16" s="3" t="s">
        <v>17</v>
      </c>
      <c r="AA16" s="2">
        <f>RSQ(O8:O22,P8:P22)</f>
        <v>0.99435513176048318</v>
      </c>
      <c r="AB16" s="2"/>
    </row>
    <row r="17" spans="1:28" x14ac:dyDescent="0.3">
      <c r="A17" s="85">
        <v>44530</v>
      </c>
      <c r="B17" s="13">
        <v>44530</v>
      </c>
      <c r="C17" s="16" t="s">
        <v>18</v>
      </c>
      <c r="D17" s="16" t="s">
        <v>21</v>
      </c>
      <c r="E17" s="16">
        <v>35</v>
      </c>
      <c r="F17" s="16">
        <v>11</v>
      </c>
      <c r="G17" s="16">
        <v>738</v>
      </c>
      <c r="H17" s="16">
        <v>525876</v>
      </c>
      <c r="I17" s="16">
        <f t="shared" si="1"/>
        <v>0.42385332992994607</v>
      </c>
      <c r="J17" s="17">
        <f t="shared" si="0"/>
        <v>4162.1473579167578</v>
      </c>
      <c r="L17" s="64" t="s">
        <v>31</v>
      </c>
      <c r="M17" s="53">
        <v>1.5</v>
      </c>
      <c r="N17" s="53">
        <v>1338</v>
      </c>
      <c r="O17" s="54">
        <f>AVERAGE(M17:M19)</f>
        <v>1.5</v>
      </c>
      <c r="P17" s="55">
        <f>AVERAGE(N17:N19)</f>
        <v>1325</v>
      </c>
      <c r="Z17" s="2"/>
      <c r="AA17" s="2"/>
      <c r="AB17" s="2"/>
    </row>
    <row r="18" spans="1:28" ht="17.25" thickBot="1" x14ac:dyDescent="0.35">
      <c r="A18" s="88">
        <v>44530</v>
      </c>
      <c r="B18" s="34">
        <v>44530</v>
      </c>
      <c r="C18" s="35" t="s">
        <v>18</v>
      </c>
      <c r="D18" s="35" t="s">
        <v>21</v>
      </c>
      <c r="E18" s="35">
        <v>50</v>
      </c>
      <c r="F18" s="35">
        <v>12</v>
      </c>
      <c r="G18" s="35">
        <v>799</v>
      </c>
      <c r="H18" s="35">
        <v>920037</v>
      </c>
      <c r="I18" s="35">
        <f t="shared" si="1"/>
        <v>0.53869580425015906</v>
      </c>
      <c r="J18" s="36">
        <f t="shared" si="0"/>
        <v>7445.6822330609266</v>
      </c>
      <c r="L18" s="9" t="s">
        <v>31</v>
      </c>
      <c r="M18" s="56">
        <v>1.5</v>
      </c>
      <c r="N18" s="56">
        <v>1440</v>
      </c>
      <c r="O18" s="57"/>
      <c r="P18" s="58"/>
      <c r="Z18" s="2"/>
      <c r="AA18" s="2"/>
      <c r="AB18" s="2"/>
    </row>
    <row r="19" spans="1:28" ht="17.25" thickBot="1" x14ac:dyDescent="0.35">
      <c r="A19" s="77">
        <v>44530</v>
      </c>
      <c r="B19" s="19">
        <v>44530</v>
      </c>
      <c r="C19" s="20" t="s">
        <v>18</v>
      </c>
      <c r="D19" s="20" t="s">
        <v>22</v>
      </c>
      <c r="E19" s="20">
        <v>10</v>
      </c>
      <c r="F19" s="20">
        <v>13</v>
      </c>
      <c r="G19" s="20">
        <v>754</v>
      </c>
      <c r="H19" s="20">
        <v>283272</v>
      </c>
      <c r="I19" s="20">
        <f t="shared" si="1"/>
        <v>0.45397594614508385</v>
      </c>
      <c r="J19" s="21">
        <f t="shared" si="0"/>
        <v>2141.1490987042125</v>
      </c>
      <c r="L19" s="11" t="s">
        <v>31</v>
      </c>
      <c r="M19" s="65">
        <v>1.5</v>
      </c>
      <c r="N19" s="65">
        <v>1197</v>
      </c>
      <c r="O19" s="59"/>
      <c r="P19" s="60"/>
      <c r="Z19" s="2"/>
      <c r="AA19" s="2"/>
      <c r="AB19" s="2"/>
    </row>
    <row r="20" spans="1:28" x14ac:dyDescent="0.3">
      <c r="A20" s="85">
        <v>44530</v>
      </c>
      <c r="B20" s="13">
        <v>44530</v>
      </c>
      <c r="C20" s="16" t="s">
        <v>18</v>
      </c>
      <c r="D20" s="16" t="s">
        <v>22</v>
      </c>
      <c r="E20" s="16">
        <v>20</v>
      </c>
      <c r="F20" s="16">
        <v>14</v>
      </c>
      <c r="G20" s="16">
        <v>622</v>
      </c>
      <c r="H20" s="16">
        <v>587218</v>
      </c>
      <c r="I20" s="16">
        <f t="shared" si="1"/>
        <v>0.20546436237019683</v>
      </c>
      <c r="J20" s="17">
        <f t="shared" si="0"/>
        <v>4673.153257310898</v>
      </c>
      <c r="L20" s="7" t="s">
        <v>32</v>
      </c>
      <c r="M20" s="61">
        <v>0.5</v>
      </c>
      <c r="N20" s="61">
        <v>674</v>
      </c>
      <c r="O20" s="62">
        <f>AVERAGE(M20:M22)</f>
        <v>0.5</v>
      </c>
      <c r="P20" s="63">
        <f>AVERAGE(N20:N22)</f>
        <v>666.33333333333337</v>
      </c>
      <c r="Z20" s="2"/>
      <c r="AA20" s="2"/>
      <c r="AB20" s="2"/>
    </row>
    <row r="21" spans="1:28" x14ac:dyDescent="0.3">
      <c r="A21" s="85">
        <v>44530</v>
      </c>
      <c r="B21" s="13">
        <v>44530</v>
      </c>
      <c r="C21" s="16" t="s">
        <v>18</v>
      </c>
      <c r="D21" s="16" t="s">
        <v>22</v>
      </c>
      <c r="E21" s="16">
        <v>35</v>
      </c>
      <c r="F21" s="16">
        <v>15</v>
      </c>
      <c r="G21" s="16">
        <v>643</v>
      </c>
      <c r="H21" s="16">
        <v>557736</v>
      </c>
      <c r="I21" s="16">
        <f t="shared" si="1"/>
        <v>0.24500029615256524</v>
      </c>
      <c r="J21" s="17">
        <f t="shared" si="0"/>
        <v>4427.5552017219361</v>
      </c>
      <c r="L21" s="9" t="s">
        <v>32</v>
      </c>
      <c r="M21" s="56">
        <v>0.5</v>
      </c>
      <c r="N21" s="56">
        <v>745</v>
      </c>
      <c r="O21" s="57"/>
      <c r="P21" s="58"/>
      <c r="Z21" s="2"/>
      <c r="AA21" s="2"/>
      <c r="AB21" s="2"/>
    </row>
    <row r="22" spans="1:28" ht="17.25" thickBot="1" x14ac:dyDescent="0.35">
      <c r="A22" s="85">
        <v>44530</v>
      </c>
      <c r="B22" s="13">
        <v>44530</v>
      </c>
      <c r="C22" s="16" t="s">
        <v>18</v>
      </c>
      <c r="D22" s="16" t="s">
        <v>22</v>
      </c>
      <c r="E22" s="16">
        <v>50</v>
      </c>
      <c r="F22" s="16">
        <v>16</v>
      </c>
      <c r="G22" s="16">
        <v>278</v>
      </c>
      <c r="H22" s="16">
        <v>1199739</v>
      </c>
      <c r="I22" s="16">
        <f t="shared" si="1"/>
        <v>-0.44217188625526627</v>
      </c>
      <c r="J22" s="17">
        <f t="shared" si="0"/>
        <v>9775.7231849754353</v>
      </c>
      <c r="L22" s="11" t="s">
        <v>32</v>
      </c>
      <c r="M22" s="65">
        <v>0.5</v>
      </c>
      <c r="N22" s="65">
        <v>580</v>
      </c>
      <c r="O22" s="59"/>
      <c r="P22" s="60"/>
      <c r="Z22" s="2"/>
      <c r="AA22" s="2"/>
      <c r="AB22" s="2"/>
    </row>
    <row r="23" spans="1:28" x14ac:dyDescent="0.3">
      <c r="A23" s="86">
        <v>44530</v>
      </c>
      <c r="B23" s="28">
        <v>44530</v>
      </c>
      <c r="C23" s="29" t="s">
        <v>18</v>
      </c>
      <c r="D23" s="29" t="s">
        <v>23</v>
      </c>
      <c r="E23" s="29">
        <v>10</v>
      </c>
      <c r="F23" s="29">
        <v>17</v>
      </c>
      <c r="G23" s="29">
        <v>881</v>
      </c>
      <c r="H23" s="29">
        <v>121880</v>
      </c>
      <c r="I23" s="29">
        <f t="shared" si="1"/>
        <v>0.69307421235274047</v>
      </c>
      <c r="J23" s="30">
        <f t="shared" si="0"/>
        <v>796.68259753015457</v>
      </c>
      <c r="N23" s="2"/>
      <c r="O23" s="2"/>
      <c r="P23" s="2"/>
      <c r="Z23" s="2"/>
      <c r="AA23" s="2"/>
      <c r="AB23" s="2"/>
    </row>
    <row r="24" spans="1:28" ht="17.25" thickBot="1" x14ac:dyDescent="0.35">
      <c r="A24" s="87">
        <v>44530</v>
      </c>
      <c r="B24" s="31">
        <v>44530</v>
      </c>
      <c r="C24" s="32" t="s">
        <v>18</v>
      </c>
      <c r="D24" s="32" t="s">
        <v>23</v>
      </c>
      <c r="E24" s="32">
        <v>20</v>
      </c>
      <c r="F24" s="32">
        <v>18</v>
      </c>
      <c r="G24" s="32">
        <v>445</v>
      </c>
      <c r="H24" s="32">
        <v>709419</v>
      </c>
      <c r="I24" s="32">
        <f t="shared" si="1"/>
        <v>-0.12776707950976529</v>
      </c>
      <c r="J24" s="33">
        <f t="shared" si="0"/>
        <v>5691.1414531940336</v>
      </c>
      <c r="L24" s="47" t="s">
        <v>33</v>
      </c>
      <c r="N24" s="66"/>
      <c r="O24" s="66"/>
      <c r="P24" s="2"/>
      <c r="Z24" s="2"/>
      <c r="AA24" s="2"/>
      <c r="AB24" s="2"/>
    </row>
    <row r="25" spans="1:28" ht="17.25" thickBot="1" x14ac:dyDescent="0.35">
      <c r="A25" s="87">
        <v>44530</v>
      </c>
      <c r="B25" s="31">
        <v>44530</v>
      </c>
      <c r="C25" s="32" t="s">
        <v>18</v>
      </c>
      <c r="D25" s="32" t="s">
        <v>23</v>
      </c>
      <c r="E25" s="32">
        <v>35</v>
      </c>
      <c r="F25" s="32">
        <v>19</v>
      </c>
      <c r="G25" s="32">
        <v>277</v>
      </c>
      <c r="H25" s="32">
        <v>1135812</v>
      </c>
      <c r="I25" s="32">
        <f t="shared" si="1"/>
        <v>-0.44405454976871239</v>
      </c>
      <c r="J25" s="33">
        <f t="shared" si="0"/>
        <v>9243.1830961200139</v>
      </c>
      <c r="L25" s="48" t="s">
        <v>13</v>
      </c>
      <c r="M25" s="49" t="s">
        <v>14</v>
      </c>
      <c r="N25" s="49" t="s">
        <v>0</v>
      </c>
      <c r="O25" s="50" t="s">
        <v>26</v>
      </c>
      <c r="P25" s="51" t="s">
        <v>27</v>
      </c>
      <c r="Z25" s="2"/>
      <c r="AA25" s="2"/>
      <c r="AB25" s="2"/>
    </row>
    <row r="26" spans="1:28" ht="17.25" thickBot="1" x14ac:dyDescent="0.35">
      <c r="A26" s="89">
        <v>44530</v>
      </c>
      <c r="B26" s="38">
        <v>44530</v>
      </c>
      <c r="C26" s="39" t="s">
        <v>18</v>
      </c>
      <c r="D26" s="39" t="s">
        <v>23</v>
      </c>
      <c r="E26" s="39">
        <v>50</v>
      </c>
      <c r="F26" s="39">
        <v>20</v>
      </c>
      <c r="G26" s="40">
        <v>374</v>
      </c>
      <c r="H26" s="40">
        <v>926485</v>
      </c>
      <c r="I26" s="39">
        <f t="shared" si="1"/>
        <v>-0.26143618896443932</v>
      </c>
      <c r="J26" s="41">
        <f t="shared" si="0"/>
        <v>7499.3969153225644</v>
      </c>
      <c r="L26" s="122" t="s">
        <v>28</v>
      </c>
      <c r="M26" s="52">
        <v>1375</v>
      </c>
      <c r="N26" s="52">
        <v>167517</v>
      </c>
      <c r="O26" s="67">
        <f>AVERAGE(M26:M28)</f>
        <v>1375</v>
      </c>
      <c r="P26" s="68">
        <f>AVERAGE(N26:N28)</f>
        <v>204629.33333333334</v>
      </c>
      <c r="Z26" s="2"/>
      <c r="AA26" s="2"/>
      <c r="AB26" s="2"/>
    </row>
    <row r="27" spans="1:28" x14ac:dyDescent="0.3">
      <c r="A27" s="77">
        <v>44530</v>
      </c>
      <c r="B27" s="27">
        <v>44530</v>
      </c>
      <c r="C27" s="22" t="s">
        <v>24</v>
      </c>
      <c r="D27" s="20" t="s">
        <v>19</v>
      </c>
      <c r="E27" s="20">
        <v>10</v>
      </c>
      <c r="F27" s="20">
        <v>21</v>
      </c>
      <c r="G27" s="22">
        <v>473</v>
      </c>
      <c r="H27" s="22">
        <v>478637</v>
      </c>
      <c r="I27" s="20">
        <f t="shared" si="1"/>
        <v>-7.5052501133274108E-2</v>
      </c>
      <c r="J27" s="21">
        <f t="shared" si="0"/>
        <v>3768.6256650883565</v>
      </c>
      <c r="L27" s="123" t="s">
        <v>28</v>
      </c>
      <c r="M27" s="69">
        <v>1375</v>
      </c>
      <c r="N27" s="69">
        <v>223410</v>
      </c>
      <c r="O27" s="70"/>
      <c r="P27" s="71"/>
      <c r="Z27" s="2"/>
      <c r="AA27" s="2"/>
      <c r="AB27" s="2"/>
    </row>
    <row r="28" spans="1:28" ht="17.25" thickBot="1" x14ac:dyDescent="0.35">
      <c r="A28" s="85">
        <v>44530</v>
      </c>
      <c r="B28" s="14">
        <v>44530</v>
      </c>
      <c r="C28" s="18" t="s">
        <v>24</v>
      </c>
      <c r="D28" s="16" t="s">
        <v>19</v>
      </c>
      <c r="E28" s="16">
        <v>20</v>
      </c>
      <c r="F28" s="16">
        <v>22</v>
      </c>
      <c r="G28" s="18">
        <v>214</v>
      </c>
      <c r="H28" s="18">
        <v>945885</v>
      </c>
      <c r="I28" s="16">
        <f t="shared" si="1"/>
        <v>-0.56266235111581753</v>
      </c>
      <c r="J28" s="17">
        <f t="shared" si="0"/>
        <v>7661.0074667921344</v>
      </c>
      <c r="L28" s="128" t="s">
        <v>28</v>
      </c>
      <c r="M28" s="72">
        <v>1375</v>
      </c>
      <c r="N28" s="72">
        <v>222961</v>
      </c>
      <c r="O28" s="73"/>
      <c r="P28" s="74"/>
      <c r="Z28" s="2"/>
      <c r="AA28" s="2"/>
      <c r="AB28" s="2"/>
    </row>
    <row r="29" spans="1:28" x14ac:dyDescent="0.3">
      <c r="A29" s="85">
        <v>44530</v>
      </c>
      <c r="B29" s="14">
        <v>44530</v>
      </c>
      <c r="C29" s="18" t="s">
        <v>24</v>
      </c>
      <c r="D29" s="16" t="s">
        <v>19</v>
      </c>
      <c r="E29" s="16">
        <v>35</v>
      </c>
      <c r="F29" s="16">
        <v>23</v>
      </c>
      <c r="G29" s="18">
        <v>408</v>
      </c>
      <c r="H29" s="18">
        <v>835846</v>
      </c>
      <c r="I29" s="16">
        <f t="shared" si="1"/>
        <v>-0.19742562950727149</v>
      </c>
      <c r="J29" s="17">
        <f t="shared" si="0"/>
        <v>6744.3340918869835</v>
      </c>
      <c r="L29" s="64" t="s">
        <v>29</v>
      </c>
      <c r="M29" s="52">
        <v>916.7</v>
      </c>
      <c r="N29" s="52">
        <v>146777</v>
      </c>
      <c r="O29" s="67">
        <f>AVERAGE(M29:M31)</f>
        <v>916.70000000000016</v>
      </c>
      <c r="P29" s="68">
        <f>AVERAGE(N29:N31)</f>
        <v>150811.66666666666</v>
      </c>
      <c r="Z29" s="3" t="s">
        <v>15</v>
      </c>
      <c r="AA29" s="2">
        <f>SLOPE(O26:O43,P26:P43)</f>
        <v>8.330440797400477E-3</v>
      </c>
      <c r="AB29" s="2"/>
    </row>
    <row r="30" spans="1:28" ht="17.25" thickBot="1" x14ac:dyDescent="0.35">
      <c r="A30" s="88">
        <v>44530</v>
      </c>
      <c r="B30" s="42">
        <v>44530</v>
      </c>
      <c r="C30" s="43" t="s">
        <v>24</v>
      </c>
      <c r="D30" s="35" t="s">
        <v>19</v>
      </c>
      <c r="E30" s="35">
        <v>50</v>
      </c>
      <c r="F30" s="35">
        <v>24</v>
      </c>
      <c r="G30" s="43">
        <v>289</v>
      </c>
      <c r="H30" s="43">
        <v>1650005</v>
      </c>
      <c r="I30" s="35">
        <f t="shared" si="1"/>
        <v>-0.421462587607359</v>
      </c>
      <c r="J30" s="36">
        <f t="shared" si="0"/>
        <v>13526.637441057757</v>
      </c>
      <c r="L30" s="9" t="s">
        <v>29</v>
      </c>
      <c r="M30" s="69">
        <v>916.7</v>
      </c>
      <c r="N30" s="69">
        <v>158537</v>
      </c>
      <c r="O30" s="70"/>
      <c r="P30" s="71"/>
      <c r="Z30" s="3" t="s">
        <v>16</v>
      </c>
      <c r="AA30" s="2">
        <f>INTERCEPT(O26:O43,P26:P43)</f>
        <v>-218.63152685701561</v>
      </c>
      <c r="AB30" s="2"/>
    </row>
    <row r="31" spans="1:28" ht="17.25" thickBot="1" x14ac:dyDescent="0.35">
      <c r="A31" s="77">
        <v>44530</v>
      </c>
      <c r="B31" s="19">
        <v>44530</v>
      </c>
      <c r="C31" s="22" t="s">
        <v>24</v>
      </c>
      <c r="D31" s="20" t="s">
        <v>20</v>
      </c>
      <c r="E31" s="20">
        <v>10</v>
      </c>
      <c r="F31" s="20">
        <v>25</v>
      </c>
      <c r="G31" s="20">
        <v>569</v>
      </c>
      <c r="H31" s="20">
        <v>505633</v>
      </c>
      <c r="I31" s="20">
        <f t="shared" si="1"/>
        <v>0.10568319615755284</v>
      </c>
      <c r="J31" s="21">
        <f t="shared" si="0"/>
        <v>3993.51424485498</v>
      </c>
      <c r="L31" s="11" t="s">
        <v>29</v>
      </c>
      <c r="M31" s="72">
        <v>916.7</v>
      </c>
      <c r="N31" s="72">
        <v>147121</v>
      </c>
      <c r="O31" s="73"/>
      <c r="P31" s="74"/>
      <c r="Z31" s="2" t="s">
        <v>17</v>
      </c>
      <c r="AA31" s="2">
        <f>RSQ(O26:O43,P26:P43)</f>
        <v>0.9985590327883207</v>
      </c>
    </row>
    <row r="32" spans="1:28" x14ac:dyDescent="0.3">
      <c r="A32" s="85">
        <v>44530</v>
      </c>
      <c r="B32" s="13">
        <v>44530</v>
      </c>
      <c r="C32" s="18" t="s">
        <v>24</v>
      </c>
      <c r="D32" s="16" t="s">
        <v>20</v>
      </c>
      <c r="E32" s="16">
        <v>20</v>
      </c>
      <c r="F32" s="16">
        <v>26</v>
      </c>
      <c r="G32" s="16">
        <v>343</v>
      </c>
      <c r="H32" s="16">
        <v>968698</v>
      </c>
      <c r="I32" s="16">
        <f t="shared" si="1"/>
        <v>-0.31979875788126888</v>
      </c>
      <c r="J32" s="17">
        <f t="shared" si="0"/>
        <v>7851.0498127032315</v>
      </c>
      <c r="L32" s="64" t="s">
        <v>30</v>
      </c>
      <c r="M32" s="52">
        <v>550</v>
      </c>
      <c r="N32" s="52">
        <v>101200</v>
      </c>
      <c r="O32" s="67">
        <f>AVERAGE(M32:M34)</f>
        <v>550</v>
      </c>
      <c r="P32" s="68">
        <f>AVERAGE(N32:N34)</f>
        <v>101419.66666666667</v>
      </c>
      <c r="Z32" s="2"/>
      <c r="AA32" s="2"/>
    </row>
    <row r="33" spans="1:27" x14ac:dyDescent="0.3">
      <c r="A33" s="85">
        <v>44530</v>
      </c>
      <c r="B33" s="13">
        <v>44530</v>
      </c>
      <c r="C33" s="18" t="s">
        <v>24</v>
      </c>
      <c r="D33" s="16" t="s">
        <v>20</v>
      </c>
      <c r="E33" s="16">
        <v>35</v>
      </c>
      <c r="F33" s="16">
        <v>27</v>
      </c>
      <c r="G33" s="16">
        <v>297</v>
      </c>
      <c r="H33" s="16">
        <v>1289673</v>
      </c>
      <c r="I33" s="16">
        <f t="shared" si="1"/>
        <v>-0.4064012794997901</v>
      </c>
      <c r="J33" s="17">
        <f t="shared" si="0"/>
        <v>10524.91304764885</v>
      </c>
      <c r="L33" s="9" t="s">
        <v>30</v>
      </c>
      <c r="M33" s="69">
        <v>550</v>
      </c>
      <c r="N33" s="69">
        <v>107985</v>
      </c>
      <c r="O33" s="70"/>
      <c r="P33" s="71"/>
      <c r="Z33" s="2"/>
      <c r="AA33" s="2"/>
    </row>
    <row r="34" spans="1:27" ht="17.25" thickBot="1" x14ac:dyDescent="0.35">
      <c r="A34" s="85">
        <v>44530</v>
      </c>
      <c r="B34" s="13">
        <v>44530</v>
      </c>
      <c r="C34" s="18" t="s">
        <v>24</v>
      </c>
      <c r="D34" s="16" t="s">
        <v>20</v>
      </c>
      <c r="E34" s="16">
        <v>50</v>
      </c>
      <c r="F34" s="16">
        <v>28</v>
      </c>
      <c r="G34" s="16">
        <v>279</v>
      </c>
      <c r="H34" s="16">
        <v>1405098</v>
      </c>
      <c r="I34" s="16">
        <f t="shared" si="1"/>
        <v>-0.44028922274182014</v>
      </c>
      <c r="J34" s="17">
        <f t="shared" si="0"/>
        <v>11486.4541766888</v>
      </c>
      <c r="L34" s="11" t="s">
        <v>30</v>
      </c>
      <c r="M34" s="72">
        <v>550</v>
      </c>
      <c r="N34" s="72">
        <v>95074</v>
      </c>
      <c r="O34" s="73"/>
      <c r="P34" s="74"/>
      <c r="Z34" s="2"/>
      <c r="AA34" s="2"/>
    </row>
    <row r="35" spans="1:27" x14ac:dyDescent="0.3">
      <c r="A35" s="86">
        <v>44530</v>
      </c>
      <c r="B35" s="28">
        <v>44530</v>
      </c>
      <c r="C35" s="44" t="s">
        <v>24</v>
      </c>
      <c r="D35" s="29" t="s">
        <v>21</v>
      </c>
      <c r="E35" s="29">
        <v>10</v>
      </c>
      <c r="F35" s="29">
        <v>29</v>
      </c>
      <c r="G35" s="29">
        <v>705</v>
      </c>
      <c r="H35" s="29">
        <v>350731</v>
      </c>
      <c r="I35" s="29">
        <f t="shared" si="1"/>
        <v>0.36172543398622437</v>
      </c>
      <c r="J35" s="30">
        <f t="shared" si="0"/>
        <v>2703.1123044560509</v>
      </c>
      <c r="L35" s="64" t="s">
        <v>31</v>
      </c>
      <c r="M35" s="52">
        <v>275</v>
      </c>
      <c r="N35" s="52">
        <v>60214</v>
      </c>
      <c r="O35" s="67">
        <f>AVERAGE(M35:M37)</f>
        <v>275</v>
      </c>
      <c r="P35" s="68">
        <f>AVERAGE(N35:N37)</f>
        <v>60309</v>
      </c>
      <c r="Z35" s="2"/>
      <c r="AA35" s="2"/>
    </row>
    <row r="36" spans="1:27" x14ac:dyDescent="0.3">
      <c r="A36" s="87">
        <v>44530</v>
      </c>
      <c r="B36" s="31">
        <v>44530</v>
      </c>
      <c r="C36" s="37" t="s">
        <v>24</v>
      </c>
      <c r="D36" s="32" t="s">
        <v>21</v>
      </c>
      <c r="E36" s="32">
        <v>20</v>
      </c>
      <c r="F36" s="32">
        <v>30</v>
      </c>
      <c r="G36" s="32">
        <v>482</v>
      </c>
      <c r="H36" s="32">
        <v>721394</v>
      </c>
      <c r="I36" s="32">
        <f t="shared" si="1"/>
        <v>-5.8108529512259088E-2</v>
      </c>
      <c r="J36" s="33">
        <f t="shared" si="0"/>
        <v>5790.8984817429046</v>
      </c>
      <c r="L36" s="9" t="s">
        <v>31</v>
      </c>
      <c r="M36" s="69">
        <v>275</v>
      </c>
      <c r="N36" s="69">
        <v>66193</v>
      </c>
      <c r="O36" s="70"/>
      <c r="P36" s="71"/>
    </row>
    <row r="37" spans="1:27" ht="17.25" thickBot="1" x14ac:dyDescent="0.35">
      <c r="A37" s="87">
        <v>44530</v>
      </c>
      <c r="B37" s="31">
        <v>44530</v>
      </c>
      <c r="C37" s="37" t="s">
        <v>24</v>
      </c>
      <c r="D37" s="32" t="s">
        <v>21</v>
      </c>
      <c r="E37" s="32">
        <v>35</v>
      </c>
      <c r="F37" s="32">
        <v>31</v>
      </c>
      <c r="G37" s="32">
        <v>476</v>
      </c>
      <c r="H37" s="32">
        <v>779347</v>
      </c>
      <c r="I37" s="32">
        <f t="shared" si="1"/>
        <v>-6.9404510592935731E-2</v>
      </c>
      <c r="J37" s="33">
        <f t="shared" si="0"/>
        <v>6273.6725172746537</v>
      </c>
      <c r="L37" s="11" t="s">
        <v>31</v>
      </c>
      <c r="M37" s="72">
        <v>275</v>
      </c>
      <c r="N37" s="72">
        <v>54520</v>
      </c>
      <c r="O37" s="73"/>
      <c r="P37" s="74"/>
    </row>
    <row r="38" spans="1:27" ht="17.25" thickBot="1" x14ac:dyDescent="0.35">
      <c r="A38" s="89">
        <v>44530</v>
      </c>
      <c r="B38" s="45">
        <v>44530</v>
      </c>
      <c r="C38" s="40" t="s">
        <v>24</v>
      </c>
      <c r="D38" s="39" t="s">
        <v>21</v>
      </c>
      <c r="E38" s="39">
        <v>50</v>
      </c>
      <c r="F38" s="39">
        <v>32</v>
      </c>
      <c r="G38" s="39">
        <v>364</v>
      </c>
      <c r="H38" s="39">
        <v>1751499</v>
      </c>
      <c r="I38" s="39">
        <f t="shared" si="1"/>
        <v>-0.28026282409890046</v>
      </c>
      <c r="J38" s="41">
        <f t="shared" si="0"/>
        <v>14372.127199349123</v>
      </c>
      <c r="L38" s="64" t="s">
        <v>32</v>
      </c>
      <c r="M38" s="52">
        <v>91.7</v>
      </c>
      <c r="N38" s="52">
        <v>27154</v>
      </c>
      <c r="O38" s="67">
        <f>AVERAGE(M38:M40)</f>
        <v>91.7</v>
      </c>
      <c r="P38" s="68">
        <f>AVERAGE(N38:N40)</f>
        <v>27431.333333333332</v>
      </c>
    </row>
    <row r="39" spans="1:27" x14ac:dyDescent="0.3">
      <c r="A39" s="77">
        <v>44530</v>
      </c>
      <c r="B39" s="19">
        <v>44530</v>
      </c>
      <c r="C39" s="22" t="s">
        <v>24</v>
      </c>
      <c r="D39" s="20" t="s">
        <v>22</v>
      </c>
      <c r="E39" s="20">
        <v>10</v>
      </c>
      <c r="F39" s="20">
        <v>33</v>
      </c>
      <c r="G39" s="20">
        <v>737</v>
      </c>
      <c r="H39" s="20">
        <v>395598</v>
      </c>
      <c r="I39" s="20">
        <f t="shared" si="1"/>
        <v>0.42197066641649994</v>
      </c>
      <c r="J39" s="21">
        <f t="shared" ref="J39:J66" si="2">(H39*$AA$29)+$AA$30</f>
        <v>3076.8741917130183</v>
      </c>
      <c r="L39" s="9" t="s">
        <v>32</v>
      </c>
      <c r="M39" s="69">
        <v>91.7</v>
      </c>
      <c r="N39" s="69">
        <v>31030</v>
      </c>
      <c r="O39" s="70"/>
      <c r="P39" s="71"/>
    </row>
    <row r="40" spans="1:27" ht="17.25" thickBot="1" x14ac:dyDescent="0.35">
      <c r="A40" s="85">
        <v>44530</v>
      </c>
      <c r="B40" s="13">
        <v>44530</v>
      </c>
      <c r="C40" s="18" t="s">
        <v>24</v>
      </c>
      <c r="D40" s="16" t="s">
        <v>22</v>
      </c>
      <c r="E40" s="16">
        <v>20</v>
      </c>
      <c r="F40" s="16">
        <v>34</v>
      </c>
      <c r="G40" s="16">
        <v>474</v>
      </c>
      <c r="H40" s="16">
        <v>770330</v>
      </c>
      <c r="I40" s="16">
        <f t="shared" si="1"/>
        <v>-7.3169837619827982E-2</v>
      </c>
      <c r="J40" s="17">
        <f t="shared" si="2"/>
        <v>6198.5569326044933</v>
      </c>
      <c r="L40" s="11" t="s">
        <v>32</v>
      </c>
      <c r="M40" s="72">
        <v>91.7</v>
      </c>
      <c r="N40" s="72">
        <v>24110</v>
      </c>
      <c r="O40" s="72"/>
      <c r="P40" s="129"/>
    </row>
    <row r="41" spans="1:27" ht="17.25" thickBot="1" x14ac:dyDescent="0.35">
      <c r="A41" s="85">
        <v>44530</v>
      </c>
      <c r="B41" s="13">
        <v>44530</v>
      </c>
      <c r="C41" s="18" t="s">
        <v>24</v>
      </c>
      <c r="D41" s="16" t="s">
        <v>22</v>
      </c>
      <c r="E41" s="16">
        <v>35</v>
      </c>
      <c r="F41" s="16">
        <v>35</v>
      </c>
      <c r="G41" s="16">
        <v>454</v>
      </c>
      <c r="H41" s="16">
        <v>847479</v>
      </c>
      <c r="I41" s="16">
        <f t="shared" si="1"/>
        <v>-0.11082310788875027</v>
      </c>
      <c r="J41" s="17">
        <f t="shared" si="2"/>
        <v>6841.242109683144</v>
      </c>
      <c r="L41" s="82" t="s">
        <v>36</v>
      </c>
      <c r="M41" s="83">
        <v>2500</v>
      </c>
      <c r="N41" s="84">
        <v>314395</v>
      </c>
      <c r="O41" s="84">
        <f>AVERAGE(M41:M41)</f>
        <v>2500</v>
      </c>
      <c r="P41" s="130">
        <f>AVERAGE(N41)</f>
        <v>314395</v>
      </c>
    </row>
    <row r="42" spans="1:27" ht="17.25" thickBot="1" x14ac:dyDescent="0.35">
      <c r="A42" s="88">
        <v>44530</v>
      </c>
      <c r="B42" s="34">
        <v>44530</v>
      </c>
      <c r="C42" s="43" t="s">
        <v>24</v>
      </c>
      <c r="D42" s="35" t="s">
        <v>22</v>
      </c>
      <c r="E42" s="35">
        <v>50</v>
      </c>
      <c r="F42" s="35">
        <v>36</v>
      </c>
      <c r="G42" s="35">
        <v>485</v>
      </c>
      <c r="H42" s="35">
        <v>1195106</v>
      </c>
      <c r="I42" s="35">
        <f t="shared" si="1"/>
        <v>-5.2460538971920712E-2</v>
      </c>
      <c r="J42" s="36">
        <f t="shared" si="2"/>
        <v>9737.1282527610783</v>
      </c>
      <c r="L42" s="82" t="s">
        <v>46</v>
      </c>
      <c r="M42" s="83">
        <v>5000</v>
      </c>
      <c r="N42" s="84">
        <v>597921</v>
      </c>
      <c r="O42" s="84">
        <f>AVERAGE(M42:M42)</f>
        <v>5000</v>
      </c>
      <c r="P42" s="130">
        <f t="shared" ref="P42:P43" si="3">AVERAGE(N42)</f>
        <v>597921</v>
      </c>
    </row>
    <row r="43" spans="1:27" ht="17.25" thickBot="1" x14ac:dyDescent="0.35">
      <c r="A43" s="77">
        <v>44530</v>
      </c>
      <c r="B43" s="19">
        <v>44530</v>
      </c>
      <c r="C43" s="22" t="s">
        <v>24</v>
      </c>
      <c r="D43" s="20" t="s">
        <v>23</v>
      </c>
      <c r="E43" s="20">
        <v>10</v>
      </c>
      <c r="F43" s="20">
        <v>37</v>
      </c>
      <c r="G43" s="20">
        <v>652</v>
      </c>
      <c r="H43" s="20">
        <v>310575</v>
      </c>
      <c r="I43" s="20">
        <f t="shared" si="1"/>
        <v>0.26194426777358037</v>
      </c>
      <c r="J43" s="21">
        <f t="shared" si="2"/>
        <v>2368.5951237956374</v>
      </c>
      <c r="L43" s="131" t="s">
        <v>34</v>
      </c>
      <c r="M43" s="132">
        <v>10000</v>
      </c>
      <c r="N43" s="133">
        <v>1238913</v>
      </c>
      <c r="O43" s="133">
        <f>M43</f>
        <v>10000</v>
      </c>
      <c r="P43" s="134">
        <f t="shared" si="3"/>
        <v>1238913</v>
      </c>
    </row>
    <row r="44" spans="1:27" x14ac:dyDescent="0.3">
      <c r="A44" s="85">
        <v>44530</v>
      </c>
      <c r="B44" s="13">
        <v>44530</v>
      </c>
      <c r="C44" s="18" t="s">
        <v>24</v>
      </c>
      <c r="D44" s="16" t="s">
        <v>23</v>
      </c>
      <c r="E44" s="16">
        <v>20</v>
      </c>
      <c r="F44" s="16">
        <v>38</v>
      </c>
      <c r="G44" s="16">
        <v>486</v>
      </c>
      <c r="H44" s="16">
        <v>416491</v>
      </c>
      <c r="I44" s="16">
        <f t="shared" si="1"/>
        <v>-5.0577875458474586E-2</v>
      </c>
      <c r="J44" s="17">
        <f t="shared" si="2"/>
        <v>3250.9220912931064</v>
      </c>
    </row>
    <row r="45" spans="1:27" x14ac:dyDescent="0.3">
      <c r="A45" s="85">
        <v>44530</v>
      </c>
      <c r="B45" s="13">
        <v>44530</v>
      </c>
      <c r="C45" s="18" t="s">
        <v>24</v>
      </c>
      <c r="D45" s="16" t="s">
        <v>23</v>
      </c>
      <c r="E45" s="16">
        <v>35</v>
      </c>
      <c r="F45" s="16">
        <v>39</v>
      </c>
      <c r="G45" s="16">
        <v>501</v>
      </c>
      <c r="H45" s="16">
        <v>668650</v>
      </c>
      <c r="I45" s="16">
        <f t="shared" si="1"/>
        <v>-2.2337922756782924E-2</v>
      </c>
      <c r="J45" s="17">
        <f t="shared" si="2"/>
        <v>5351.5177123248141</v>
      </c>
      <c r="L45" s="79"/>
      <c r="M45" s="80"/>
      <c r="N45" s="81"/>
      <c r="O45" s="81"/>
      <c r="P45" s="81"/>
    </row>
    <row r="46" spans="1:27" ht="17.25" thickBot="1" x14ac:dyDescent="0.35">
      <c r="A46" s="85">
        <v>44530</v>
      </c>
      <c r="B46" s="13">
        <v>44530</v>
      </c>
      <c r="C46" s="18" t="s">
        <v>24</v>
      </c>
      <c r="D46" s="16" t="s">
        <v>23</v>
      </c>
      <c r="E46" s="16">
        <v>50</v>
      </c>
      <c r="F46" s="16">
        <v>40</v>
      </c>
      <c r="G46" s="16">
        <v>214</v>
      </c>
      <c r="H46" s="16">
        <v>1232080</v>
      </c>
      <c r="I46" s="16">
        <f t="shared" si="1"/>
        <v>-0.56266235111581753</v>
      </c>
      <c r="J46" s="17">
        <f t="shared" si="2"/>
        <v>10045.137970804164</v>
      </c>
    </row>
    <row r="47" spans="1:27" x14ac:dyDescent="0.3">
      <c r="A47" s="86">
        <v>44530</v>
      </c>
      <c r="B47" s="28">
        <v>44530</v>
      </c>
      <c r="C47" s="29" t="s">
        <v>25</v>
      </c>
      <c r="D47" s="29" t="s">
        <v>19</v>
      </c>
      <c r="E47" s="29">
        <v>10</v>
      </c>
      <c r="F47" s="29">
        <v>41</v>
      </c>
      <c r="G47" s="29">
        <v>714</v>
      </c>
      <c r="H47" s="29">
        <v>221384</v>
      </c>
      <c r="I47" s="29">
        <f t="shared" si="1"/>
        <v>0.37866940560723927</v>
      </c>
      <c r="J47" s="30">
        <f t="shared" si="2"/>
        <v>1625.5947786346915</v>
      </c>
    </row>
    <row r="48" spans="1:27" x14ac:dyDescent="0.3">
      <c r="A48" s="87">
        <v>44530</v>
      </c>
      <c r="B48" s="31">
        <v>44530</v>
      </c>
      <c r="C48" s="32" t="s">
        <v>25</v>
      </c>
      <c r="D48" s="32" t="s">
        <v>19</v>
      </c>
      <c r="E48" s="32">
        <v>20</v>
      </c>
      <c r="F48" s="32">
        <v>42</v>
      </c>
      <c r="G48" s="32">
        <v>250</v>
      </c>
      <c r="H48" s="32">
        <v>1008763</v>
      </c>
      <c r="I48" s="32">
        <f t="shared" si="1"/>
        <v>-0.49488646463175751</v>
      </c>
      <c r="J48" s="33">
        <f t="shared" si="2"/>
        <v>8184.8089232510811</v>
      </c>
    </row>
    <row r="49" spans="1:17" x14ac:dyDescent="0.3">
      <c r="A49" s="87">
        <v>44530</v>
      </c>
      <c r="B49" s="31">
        <v>44530</v>
      </c>
      <c r="C49" s="32" t="s">
        <v>25</v>
      </c>
      <c r="D49" s="32" t="s">
        <v>19</v>
      </c>
      <c r="E49" s="32">
        <v>35</v>
      </c>
      <c r="F49" s="32">
        <v>43</v>
      </c>
      <c r="G49" s="32">
        <v>307</v>
      </c>
      <c r="H49" s="32">
        <v>969720</v>
      </c>
      <c r="I49" s="32">
        <f t="shared" si="1"/>
        <v>-0.38757464436532896</v>
      </c>
      <c r="J49" s="33">
        <f t="shared" si="2"/>
        <v>7859.5635231981742</v>
      </c>
    </row>
    <row r="50" spans="1:17" ht="17.25" thickBot="1" x14ac:dyDescent="0.35">
      <c r="A50" s="87">
        <v>44530</v>
      </c>
      <c r="B50" s="31">
        <v>44530</v>
      </c>
      <c r="C50" s="32" t="s">
        <v>25</v>
      </c>
      <c r="D50" s="32" t="s">
        <v>19</v>
      </c>
      <c r="E50" s="32">
        <v>50</v>
      </c>
      <c r="F50" s="32">
        <v>44</v>
      </c>
      <c r="G50" s="32">
        <v>0</v>
      </c>
      <c r="H50" s="32">
        <v>1933895</v>
      </c>
      <c r="I50" s="32">
        <f t="shared" si="1"/>
        <v>-0.96555234299328596</v>
      </c>
      <c r="J50" s="33">
        <f t="shared" si="2"/>
        <v>15891.56627903178</v>
      </c>
    </row>
    <row r="51" spans="1:17" x14ac:dyDescent="0.3">
      <c r="A51" s="77">
        <v>44530</v>
      </c>
      <c r="B51" s="19">
        <v>44530</v>
      </c>
      <c r="C51" s="20" t="s">
        <v>25</v>
      </c>
      <c r="D51" s="20" t="s">
        <v>20</v>
      </c>
      <c r="E51" s="20">
        <v>10</v>
      </c>
      <c r="F51" s="20">
        <v>45</v>
      </c>
      <c r="G51" s="20">
        <v>610</v>
      </c>
      <c r="H51" s="20">
        <v>654311</v>
      </c>
      <c r="I51" s="20">
        <f t="shared" si="1"/>
        <v>0.18287240020884354</v>
      </c>
      <c r="J51" s="21">
        <f t="shared" si="2"/>
        <v>5232.0675217308872</v>
      </c>
    </row>
    <row r="52" spans="1:17" x14ac:dyDescent="0.3">
      <c r="A52" s="85">
        <v>44530</v>
      </c>
      <c r="B52" s="13">
        <v>44530</v>
      </c>
      <c r="C52" s="16" t="s">
        <v>25</v>
      </c>
      <c r="D52" s="16" t="s">
        <v>20</v>
      </c>
      <c r="E52" s="16">
        <v>20</v>
      </c>
      <c r="F52" s="16">
        <v>46</v>
      </c>
      <c r="G52" s="16">
        <v>234</v>
      </c>
      <c r="H52" s="16">
        <v>1390654</v>
      </c>
      <c r="I52" s="16">
        <f t="shared" si="1"/>
        <v>-0.52500908084689524</v>
      </c>
      <c r="J52" s="17">
        <f t="shared" si="2"/>
        <v>11366.129289811146</v>
      </c>
    </row>
    <row r="53" spans="1:17" x14ac:dyDescent="0.3">
      <c r="A53" s="85">
        <v>44530</v>
      </c>
      <c r="B53" s="13">
        <v>44530</v>
      </c>
      <c r="C53" s="16" t="s">
        <v>25</v>
      </c>
      <c r="D53" s="16" t="s">
        <v>20</v>
      </c>
      <c r="E53" s="16">
        <v>35</v>
      </c>
      <c r="F53" s="16">
        <v>47</v>
      </c>
      <c r="G53" s="16">
        <v>428</v>
      </c>
      <c r="H53" s="16">
        <v>1190539</v>
      </c>
      <c r="I53" s="16">
        <f t="shared" si="1"/>
        <v>-0.1597723592383492</v>
      </c>
      <c r="J53" s="17">
        <f t="shared" si="2"/>
        <v>9699.0831296393499</v>
      </c>
    </row>
    <row r="54" spans="1:17" ht="17.25" thickBot="1" x14ac:dyDescent="0.35">
      <c r="A54" s="88">
        <v>44530</v>
      </c>
      <c r="B54" s="34">
        <v>44530</v>
      </c>
      <c r="C54" s="35" t="s">
        <v>25</v>
      </c>
      <c r="D54" s="35" t="s">
        <v>20</v>
      </c>
      <c r="E54" s="35">
        <v>50</v>
      </c>
      <c r="F54" s="35">
        <v>48</v>
      </c>
      <c r="G54" s="35">
        <v>646</v>
      </c>
      <c r="H54" s="35">
        <v>882545</v>
      </c>
      <c r="I54" s="35">
        <f t="shared" si="1"/>
        <v>0.25064828669290362</v>
      </c>
      <c r="J54" s="36">
        <f t="shared" si="2"/>
        <v>7133.3573466847884</v>
      </c>
    </row>
    <row r="55" spans="1:17" x14ac:dyDescent="0.3">
      <c r="A55" s="77">
        <v>44530</v>
      </c>
      <c r="B55" s="19">
        <v>44530</v>
      </c>
      <c r="C55" s="20" t="s">
        <v>25</v>
      </c>
      <c r="D55" s="20" t="s">
        <v>21</v>
      </c>
      <c r="E55" s="20">
        <v>10</v>
      </c>
      <c r="F55" s="20">
        <v>49</v>
      </c>
      <c r="G55" s="20">
        <v>646</v>
      </c>
      <c r="H55" s="20">
        <v>584766</v>
      </c>
      <c r="I55" s="20">
        <f t="shared" si="1"/>
        <v>0.25064828669290362</v>
      </c>
      <c r="J55" s="21">
        <f t="shared" si="2"/>
        <v>4652.7270164756719</v>
      </c>
    </row>
    <row r="56" spans="1:17" x14ac:dyDescent="0.3">
      <c r="A56" s="85">
        <v>44530</v>
      </c>
      <c r="B56" s="13">
        <v>44530</v>
      </c>
      <c r="C56" s="16" t="s">
        <v>25</v>
      </c>
      <c r="D56" s="16" t="s">
        <v>21</v>
      </c>
      <c r="E56" s="16">
        <v>20</v>
      </c>
      <c r="F56" s="16">
        <v>50</v>
      </c>
      <c r="G56" s="16">
        <v>255</v>
      </c>
      <c r="H56" s="16">
        <v>1328843</v>
      </c>
      <c r="I56" s="16">
        <f t="shared" si="1"/>
        <v>-0.48547314706452693</v>
      </c>
      <c r="J56" s="17">
        <f t="shared" si="2"/>
        <v>10851.216413683025</v>
      </c>
      <c r="N56" s="75"/>
      <c r="O56" s="75"/>
      <c r="P56" s="75"/>
      <c r="Q56" s="75"/>
    </row>
    <row r="57" spans="1:17" x14ac:dyDescent="0.3">
      <c r="A57" s="85">
        <v>44530</v>
      </c>
      <c r="B57" s="13">
        <v>44530</v>
      </c>
      <c r="C57" s="16" t="s">
        <v>25</v>
      </c>
      <c r="D57" s="16" t="s">
        <v>21</v>
      </c>
      <c r="E57" s="16">
        <v>35</v>
      </c>
      <c r="F57" s="16">
        <v>51</v>
      </c>
      <c r="G57" s="16">
        <v>500</v>
      </c>
      <c r="H57" s="16">
        <v>992198</v>
      </c>
      <c r="I57" s="16">
        <f t="shared" si="1"/>
        <v>-2.422058627022905E-2</v>
      </c>
      <c r="J57" s="17">
        <f t="shared" si="2"/>
        <v>8046.8151714421419</v>
      </c>
      <c r="N57" s="2"/>
      <c r="O57" s="2"/>
      <c r="P57" s="2"/>
    </row>
    <row r="58" spans="1:17" ht="17.25" thickBot="1" x14ac:dyDescent="0.35">
      <c r="A58" s="88">
        <v>44530</v>
      </c>
      <c r="B58" s="34">
        <v>44530</v>
      </c>
      <c r="C58" s="35" t="s">
        <v>25</v>
      </c>
      <c r="D58" s="35" t="s">
        <v>21</v>
      </c>
      <c r="E58" s="35">
        <v>50</v>
      </c>
      <c r="F58" s="35">
        <v>52</v>
      </c>
      <c r="G58" s="35">
        <v>407</v>
      </c>
      <c r="H58" s="35">
        <v>2603836</v>
      </c>
      <c r="I58" s="35">
        <f t="shared" si="1"/>
        <v>-0.19930829302071762</v>
      </c>
      <c r="J58" s="36">
        <f t="shared" si="2"/>
        <v>21472.470117283054</v>
      </c>
      <c r="N58" s="2"/>
      <c r="O58" s="2"/>
      <c r="P58" s="2"/>
    </row>
    <row r="59" spans="1:17" x14ac:dyDescent="0.3">
      <c r="A59" s="86">
        <v>44530</v>
      </c>
      <c r="B59" s="28">
        <v>44530</v>
      </c>
      <c r="C59" s="29" t="s">
        <v>25</v>
      </c>
      <c r="D59" s="29" t="s">
        <v>22</v>
      </c>
      <c r="E59" s="29">
        <v>10</v>
      </c>
      <c r="F59" s="29">
        <v>53</v>
      </c>
      <c r="G59" s="29">
        <v>658</v>
      </c>
      <c r="H59" s="29">
        <v>279961</v>
      </c>
      <c r="I59" s="29">
        <f t="shared" si="1"/>
        <v>0.27324024885425691</v>
      </c>
      <c r="J59" s="30">
        <f t="shared" si="2"/>
        <v>2113.5670092240193</v>
      </c>
      <c r="N59" s="2"/>
      <c r="O59" s="2"/>
      <c r="P59" s="2"/>
    </row>
    <row r="60" spans="1:17" x14ac:dyDescent="0.3">
      <c r="A60" s="87">
        <v>44530</v>
      </c>
      <c r="B60" s="31">
        <v>44530</v>
      </c>
      <c r="C60" s="32" t="s">
        <v>25</v>
      </c>
      <c r="D60" s="32" t="s">
        <v>22</v>
      </c>
      <c r="E60" s="32">
        <v>20</v>
      </c>
      <c r="F60" s="32">
        <v>54</v>
      </c>
      <c r="G60" s="32">
        <v>244</v>
      </c>
      <c r="H60" s="32">
        <v>803148</v>
      </c>
      <c r="I60" s="32">
        <f t="shared" si="1"/>
        <v>-0.5061824457124342</v>
      </c>
      <c r="J60" s="33">
        <f t="shared" si="2"/>
        <v>6471.945338693582</v>
      </c>
      <c r="N60" s="2"/>
      <c r="O60" s="2"/>
      <c r="P60" s="2"/>
    </row>
    <row r="61" spans="1:17" x14ac:dyDescent="0.3">
      <c r="A61" s="87">
        <v>44530</v>
      </c>
      <c r="B61" s="31">
        <v>44530</v>
      </c>
      <c r="C61" s="32" t="s">
        <v>25</v>
      </c>
      <c r="D61" s="32" t="s">
        <v>22</v>
      </c>
      <c r="E61" s="32">
        <v>35</v>
      </c>
      <c r="F61" s="32">
        <v>55</v>
      </c>
      <c r="G61" s="32">
        <v>205</v>
      </c>
      <c r="H61" s="32">
        <v>1094050</v>
      </c>
      <c r="I61" s="32">
        <f t="shared" si="1"/>
        <v>-0.57960632273683266</v>
      </c>
      <c r="J61" s="33">
        <f t="shared" si="2"/>
        <v>8895.2872275389764</v>
      </c>
      <c r="N61" s="2"/>
      <c r="O61" s="2"/>
      <c r="P61" s="2"/>
    </row>
    <row r="62" spans="1:17" ht="17.25" thickBot="1" x14ac:dyDescent="0.35">
      <c r="A62" s="89">
        <v>44530</v>
      </c>
      <c r="B62" s="45">
        <v>44530</v>
      </c>
      <c r="C62" s="39" t="s">
        <v>25</v>
      </c>
      <c r="D62" s="39" t="s">
        <v>22</v>
      </c>
      <c r="E62" s="39">
        <v>50</v>
      </c>
      <c r="F62" s="39">
        <v>56</v>
      </c>
      <c r="G62" s="39">
        <v>219</v>
      </c>
      <c r="H62" s="39">
        <v>1223086</v>
      </c>
      <c r="I62" s="39">
        <f t="shared" si="1"/>
        <v>-0.55324903354858701</v>
      </c>
      <c r="J62" s="41">
        <f t="shared" si="2"/>
        <v>9970.2139862723434</v>
      </c>
      <c r="N62" s="2"/>
      <c r="O62" s="2"/>
      <c r="P62" s="2"/>
    </row>
    <row r="63" spans="1:17" x14ac:dyDescent="0.3">
      <c r="A63" s="77">
        <v>44530</v>
      </c>
      <c r="B63" s="19">
        <v>44530</v>
      </c>
      <c r="C63" s="20" t="s">
        <v>25</v>
      </c>
      <c r="D63" s="20" t="s">
        <v>23</v>
      </c>
      <c r="E63" s="20">
        <v>10</v>
      </c>
      <c r="F63" s="20">
        <v>57</v>
      </c>
      <c r="G63" s="20">
        <v>545</v>
      </c>
      <c r="H63" s="20">
        <v>646665</v>
      </c>
      <c r="I63" s="20">
        <f t="shared" si="1"/>
        <v>6.0499271834846047E-2</v>
      </c>
      <c r="J63" s="21">
        <f t="shared" si="2"/>
        <v>5168.3729713939647</v>
      </c>
      <c r="N63" s="2"/>
      <c r="O63" s="2"/>
      <c r="P63" s="2"/>
    </row>
    <row r="64" spans="1:17" x14ac:dyDescent="0.3">
      <c r="A64" s="85">
        <v>44530</v>
      </c>
      <c r="B64" s="13">
        <v>44530</v>
      </c>
      <c r="C64" s="16" t="s">
        <v>25</v>
      </c>
      <c r="D64" s="16" t="s">
        <v>23</v>
      </c>
      <c r="E64" s="16">
        <v>20</v>
      </c>
      <c r="F64" s="16">
        <v>58</v>
      </c>
      <c r="G64" s="16">
        <v>231</v>
      </c>
      <c r="H64" s="16">
        <v>1163538</v>
      </c>
      <c r="I64" s="16">
        <f t="shared" si="1"/>
        <v>-0.53065707138723361</v>
      </c>
      <c r="J64" s="17">
        <f t="shared" si="2"/>
        <v>9474.1528976687405</v>
      </c>
      <c r="N64" s="2"/>
      <c r="O64" s="2"/>
      <c r="P64" s="2"/>
    </row>
    <row r="65" spans="1:16" x14ac:dyDescent="0.3">
      <c r="A65" s="85">
        <v>44530</v>
      </c>
      <c r="B65" s="13">
        <v>44530</v>
      </c>
      <c r="C65" s="16" t="s">
        <v>25</v>
      </c>
      <c r="D65" s="16" t="s">
        <v>23</v>
      </c>
      <c r="E65" s="16">
        <v>35</v>
      </c>
      <c r="F65" s="16">
        <v>59</v>
      </c>
      <c r="G65" s="16">
        <v>283</v>
      </c>
      <c r="H65" s="16">
        <v>2369202</v>
      </c>
      <c r="I65" s="16">
        <f t="shared" si="1"/>
        <v>-0.43275856868803575</v>
      </c>
      <c r="J65" s="17">
        <f t="shared" si="2"/>
        <v>19517.865471225792</v>
      </c>
      <c r="N65" s="2"/>
      <c r="O65" s="2"/>
      <c r="P65" s="2"/>
    </row>
    <row r="66" spans="1:16" x14ac:dyDescent="0.3">
      <c r="A66" s="85">
        <v>44530</v>
      </c>
      <c r="B66" s="13">
        <v>44530</v>
      </c>
      <c r="C66" s="16" t="s">
        <v>25</v>
      </c>
      <c r="D66" s="16" t="s">
        <v>23</v>
      </c>
      <c r="E66" s="16">
        <v>50</v>
      </c>
      <c r="F66" s="16">
        <v>60</v>
      </c>
      <c r="G66" s="16">
        <v>240</v>
      </c>
      <c r="H66" s="16">
        <v>2208686</v>
      </c>
      <c r="I66" s="16">
        <f t="shared" si="1"/>
        <v>-0.51371309976621871</v>
      </c>
      <c r="J66" s="17">
        <f t="shared" si="2"/>
        <v>18180.696436190257</v>
      </c>
      <c r="N66" s="2"/>
      <c r="O66" s="2"/>
      <c r="P66" s="2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P62"/>
  <sheetViews>
    <sheetView tabSelected="1" zoomScale="70" zoomScaleNormal="70" workbookViewId="0">
      <selection activeCell="E27" sqref="E27"/>
    </sheetView>
  </sheetViews>
  <sheetFormatPr defaultRowHeight="15" x14ac:dyDescent="0.25"/>
  <cols>
    <col min="1" max="3" width="11.140625" customWidth="1"/>
    <col min="9" max="9" width="2.7109375" customWidth="1"/>
  </cols>
  <sheetData>
    <row r="1" spans="1:16" ht="33.75" thickBot="1" x14ac:dyDescent="0.35">
      <c r="A1" s="95" t="s">
        <v>1</v>
      </c>
      <c r="B1" s="96" t="s">
        <v>5</v>
      </c>
      <c r="C1" s="96" t="s">
        <v>2</v>
      </c>
      <c r="D1" s="97" t="s">
        <v>8</v>
      </c>
      <c r="E1" s="98" t="s">
        <v>9</v>
      </c>
      <c r="F1" s="98" t="s">
        <v>43</v>
      </c>
      <c r="G1" s="98" t="s">
        <v>44</v>
      </c>
      <c r="H1" s="98" t="s">
        <v>45</v>
      </c>
      <c r="I1" s="99"/>
      <c r="J1" s="100" t="s">
        <v>37</v>
      </c>
      <c r="K1" s="100" t="s">
        <v>38</v>
      </c>
      <c r="L1" s="100" t="s">
        <v>39</v>
      </c>
      <c r="M1" s="100" t="s">
        <v>40</v>
      </c>
      <c r="N1" s="100" t="s">
        <v>41</v>
      </c>
      <c r="O1" s="101" t="s">
        <v>42</v>
      </c>
    </row>
    <row r="2" spans="1:16" ht="16.5" x14ac:dyDescent="0.3">
      <c r="A2" s="92" t="s">
        <v>18</v>
      </c>
      <c r="B2" s="93" t="s">
        <v>19</v>
      </c>
      <c r="C2" s="93">
        <v>10</v>
      </c>
      <c r="D2" s="94">
        <f>('STDs and Samples'!I7)</f>
        <v>0.34478146236520923</v>
      </c>
      <c r="E2" s="94">
        <f>('STDs and Samples'!J7)</f>
        <v>2144.5062663455647</v>
      </c>
      <c r="F2" s="94"/>
      <c r="G2" s="94"/>
      <c r="H2" s="94"/>
      <c r="I2" s="5"/>
      <c r="J2" s="5">
        <f>AVERAGE(D2:D6)</f>
        <v>0.5364366080340236</v>
      </c>
      <c r="K2" s="5">
        <f>STDEV(D2:D6)</f>
        <v>0.13695908003818852</v>
      </c>
      <c r="L2" s="5">
        <f>K2/SQRT(5)</f>
        <v>6.1249962620244798E-2</v>
      </c>
      <c r="M2" s="5">
        <f>AVERAGE(E2:E6)</f>
        <v>2012.2671830394702</v>
      </c>
      <c r="N2" s="5">
        <f>STDEV(E2:E6)</f>
        <v>712.24221793998629</v>
      </c>
      <c r="O2" s="8">
        <f>N2/SQRT(5)</f>
        <v>318.52440315180593</v>
      </c>
    </row>
    <row r="3" spans="1:16" ht="16.5" x14ac:dyDescent="0.3">
      <c r="A3" s="90" t="s">
        <v>18</v>
      </c>
      <c r="B3" s="16" t="s">
        <v>20</v>
      </c>
      <c r="C3" s="16">
        <v>10</v>
      </c>
      <c r="D3" s="12">
        <f>('STDs and Samples'!I11)</f>
        <v>0.58952771911320401</v>
      </c>
      <c r="E3" s="12">
        <f>('STDs and Samples'!J11)</f>
        <v>2665.442051170206</v>
      </c>
      <c r="F3" s="12"/>
      <c r="G3" s="12"/>
      <c r="H3" s="12"/>
      <c r="I3" s="6"/>
      <c r="J3" s="6"/>
      <c r="K3" s="6"/>
      <c r="L3" s="6"/>
      <c r="M3" s="6"/>
      <c r="N3" s="6"/>
      <c r="O3" s="10"/>
      <c r="P3" s="81"/>
    </row>
    <row r="4" spans="1:16" ht="16.5" x14ac:dyDescent="0.3">
      <c r="A4" s="90" t="s">
        <v>18</v>
      </c>
      <c r="B4" s="16" t="s">
        <v>21</v>
      </c>
      <c r="C4" s="16">
        <v>10</v>
      </c>
      <c r="D4" s="12">
        <f>('STDs and Samples'!I15)</f>
        <v>0.60082370019388076</v>
      </c>
      <c r="E4" s="12">
        <f>('STDs and Samples'!J15)</f>
        <v>2313.5559014472124</v>
      </c>
      <c r="F4" s="12"/>
      <c r="G4" s="12"/>
      <c r="H4" s="12"/>
      <c r="I4" s="6"/>
      <c r="J4" s="6"/>
      <c r="K4" s="6"/>
      <c r="L4" s="6"/>
      <c r="M4" s="6"/>
      <c r="N4" s="6"/>
      <c r="O4" s="10"/>
    </row>
    <row r="5" spans="1:16" ht="16.5" x14ac:dyDescent="0.3">
      <c r="A5" s="90" t="s">
        <v>18</v>
      </c>
      <c r="B5" s="16" t="s">
        <v>22</v>
      </c>
      <c r="C5" s="16">
        <v>10</v>
      </c>
      <c r="D5" s="16">
        <f>('STDs and Samples'!I19)</f>
        <v>0.45397594614508385</v>
      </c>
      <c r="E5" s="16">
        <f>('STDs and Samples'!J19)</f>
        <v>2141.1490987042125</v>
      </c>
      <c r="F5" s="16"/>
      <c r="G5" s="16"/>
      <c r="H5" s="16"/>
      <c r="I5" s="6"/>
      <c r="J5" s="6"/>
      <c r="K5" s="6"/>
      <c r="L5" s="6"/>
      <c r="M5" s="6"/>
      <c r="N5" s="6"/>
      <c r="O5" s="10"/>
    </row>
    <row r="6" spans="1:16" ht="17.25" thickBot="1" x14ac:dyDescent="0.35">
      <c r="A6" s="111" t="s">
        <v>18</v>
      </c>
      <c r="B6" s="35" t="s">
        <v>23</v>
      </c>
      <c r="C6" s="35">
        <v>10</v>
      </c>
      <c r="D6" s="35">
        <f>('STDs and Samples'!I23)</f>
        <v>0.69307421235274047</v>
      </c>
      <c r="E6" s="35">
        <f>('STDs and Samples'!J23)</f>
        <v>796.68259753015457</v>
      </c>
      <c r="F6" s="35"/>
      <c r="G6" s="35"/>
      <c r="H6" s="35"/>
      <c r="I6" s="112"/>
      <c r="J6" s="112"/>
      <c r="K6" s="112"/>
      <c r="L6" s="112"/>
      <c r="M6" s="112"/>
      <c r="N6" s="112"/>
      <c r="O6" s="113"/>
    </row>
    <row r="7" spans="1:16" ht="16.5" x14ac:dyDescent="0.3">
      <c r="A7" s="116" t="s">
        <v>18</v>
      </c>
      <c r="B7" s="117" t="s">
        <v>19</v>
      </c>
      <c r="C7" s="117">
        <v>20</v>
      </c>
      <c r="D7" s="118">
        <f>('STDs and Samples'!I8)</f>
        <v>-0.21060427410139426</v>
      </c>
      <c r="E7" s="118">
        <f>('STDs and Samples'!J8)</f>
        <v>3612.3049435251364</v>
      </c>
      <c r="F7" s="118"/>
      <c r="G7" s="118"/>
      <c r="H7" s="118"/>
      <c r="I7" s="118"/>
      <c r="J7" s="118">
        <f>AVERAGE(D7:D11)</f>
        <v>-8.0296800545924581E-3</v>
      </c>
      <c r="K7" s="118">
        <f>STDEV(D7:D11)</f>
        <v>0.19472875715922716</v>
      </c>
      <c r="L7" s="118">
        <f>K7/SQRT(5)</f>
        <v>8.7085347636416149E-2</v>
      </c>
      <c r="M7" s="118">
        <f>AVERAGE(E7:E11)</f>
        <v>5529.4959138731156</v>
      </c>
      <c r="N7" s="118">
        <f>STDEV(E7:E11)</f>
        <v>1419.9564732808631</v>
      </c>
      <c r="O7" s="119">
        <f>N7/SQRT(5)</f>
        <v>635.02383986937468</v>
      </c>
    </row>
    <row r="8" spans="1:16" ht="16.5" x14ac:dyDescent="0.3">
      <c r="A8" s="102" t="s">
        <v>18</v>
      </c>
      <c r="B8" s="103" t="s">
        <v>20</v>
      </c>
      <c r="C8" s="103">
        <v>20</v>
      </c>
      <c r="D8" s="104">
        <f>('STDs and Samples'!I12)</f>
        <v>-0.10329245383496577</v>
      </c>
      <c r="E8" s="104">
        <f>('STDs and Samples'!J12)</f>
        <v>7166.3875444464811</v>
      </c>
      <c r="F8" s="104"/>
      <c r="G8" s="104"/>
      <c r="H8" s="104"/>
      <c r="I8" s="104"/>
      <c r="J8" s="104"/>
      <c r="K8" s="104"/>
      <c r="L8" s="104"/>
      <c r="M8" s="104"/>
      <c r="N8" s="104"/>
      <c r="O8" s="105"/>
    </row>
    <row r="9" spans="1:16" ht="16.5" x14ac:dyDescent="0.3">
      <c r="A9" s="102" t="s">
        <v>18</v>
      </c>
      <c r="B9" s="103" t="s">
        <v>21</v>
      </c>
      <c r="C9" s="103">
        <v>20</v>
      </c>
      <c r="D9" s="104">
        <f>('STDs and Samples'!I16)</f>
        <v>0.1960510448029662</v>
      </c>
      <c r="E9" s="104">
        <f>('STDs and Samples'!J16)</f>
        <v>6504.4923708890256</v>
      </c>
      <c r="F9" s="104"/>
      <c r="G9" s="104"/>
      <c r="H9" s="104"/>
      <c r="I9" s="104"/>
      <c r="J9" s="104"/>
      <c r="K9" s="104"/>
      <c r="L9" s="104"/>
      <c r="M9" s="104"/>
      <c r="N9" s="104"/>
      <c r="O9" s="105"/>
    </row>
    <row r="10" spans="1:16" ht="16.5" x14ac:dyDescent="0.3">
      <c r="A10" s="102" t="s">
        <v>18</v>
      </c>
      <c r="B10" s="103" t="s">
        <v>22</v>
      </c>
      <c r="C10" s="103">
        <v>20</v>
      </c>
      <c r="D10" s="103">
        <f>('STDs and Samples'!I20)</f>
        <v>0.20546436237019683</v>
      </c>
      <c r="E10" s="103">
        <f>('STDs and Samples'!J20)</f>
        <v>4673.153257310898</v>
      </c>
      <c r="F10" s="103"/>
      <c r="G10" s="103"/>
      <c r="H10" s="103"/>
      <c r="I10" s="104"/>
      <c r="J10" s="104"/>
      <c r="K10" s="104"/>
      <c r="L10" s="104"/>
      <c r="M10" s="104"/>
      <c r="N10" s="104"/>
      <c r="O10" s="105"/>
    </row>
    <row r="11" spans="1:16" ht="17.25" thickBot="1" x14ac:dyDescent="0.35">
      <c r="A11" s="107" t="s">
        <v>18</v>
      </c>
      <c r="B11" s="108" t="s">
        <v>23</v>
      </c>
      <c r="C11" s="108">
        <v>20</v>
      </c>
      <c r="D11" s="108">
        <f>('STDs and Samples'!I24)</f>
        <v>-0.12776707950976529</v>
      </c>
      <c r="E11" s="108">
        <f>('STDs and Samples'!J24)</f>
        <v>5691.1414531940336</v>
      </c>
      <c r="F11" s="108"/>
      <c r="G11" s="108"/>
      <c r="H11" s="108"/>
      <c r="I11" s="109"/>
      <c r="J11" s="109"/>
      <c r="K11" s="109"/>
      <c r="L11" s="109"/>
      <c r="M11" s="109"/>
      <c r="N11" s="109"/>
      <c r="O11" s="110"/>
    </row>
    <row r="12" spans="1:16" ht="16.5" x14ac:dyDescent="0.3">
      <c r="A12" s="92" t="s">
        <v>18</v>
      </c>
      <c r="B12" s="93" t="s">
        <v>19</v>
      </c>
      <c r="C12" s="93">
        <v>35</v>
      </c>
      <c r="D12" s="94">
        <f>('STDs and Samples'!I9)</f>
        <v>-3.7399230864351818E-2</v>
      </c>
      <c r="E12" s="94">
        <f>('STDs and Samples'!J9)</f>
        <v>5374.9345814063054</v>
      </c>
      <c r="F12" s="94"/>
      <c r="G12" s="94"/>
      <c r="H12" s="94"/>
      <c r="I12" s="5"/>
      <c r="J12" s="5">
        <f>AVERAGE(D12:D16)</f>
        <v>6.313500075367065E-2</v>
      </c>
      <c r="K12" s="5">
        <f>STDEV(D12:D16)</f>
        <v>0.3296908819970602</v>
      </c>
      <c r="L12" s="5">
        <f>K12/SQRT(5)</f>
        <v>0.14744224474145765</v>
      </c>
      <c r="M12" s="5">
        <f>AVERAGE(E12:E16)</f>
        <v>6244.4876509850401</v>
      </c>
      <c r="N12" s="5">
        <f>STDEV(E12:E16)</f>
        <v>2264.89751700753</v>
      </c>
      <c r="O12" s="8">
        <f>N12/SQRT(5)</f>
        <v>1012.8929620198646</v>
      </c>
    </row>
    <row r="13" spans="1:16" ht="16.5" x14ac:dyDescent="0.3">
      <c r="A13" s="90" t="s">
        <v>18</v>
      </c>
      <c r="B13" s="16" t="s">
        <v>20</v>
      </c>
      <c r="C13" s="16">
        <v>35</v>
      </c>
      <c r="D13" s="12">
        <f>('STDs and Samples'!I13)</f>
        <v>0.12827515831890612</v>
      </c>
      <c r="E13" s="12">
        <f>('STDs and Samples'!J13)</f>
        <v>8014.6180177601891</v>
      </c>
      <c r="F13" s="12"/>
      <c r="G13" s="12"/>
      <c r="H13" s="12"/>
      <c r="I13" s="6"/>
      <c r="J13" s="6"/>
      <c r="K13" s="6"/>
      <c r="L13" s="6"/>
      <c r="M13" s="6"/>
      <c r="N13" s="6"/>
      <c r="O13" s="10"/>
    </row>
    <row r="14" spans="1:16" ht="16.5" x14ac:dyDescent="0.3">
      <c r="A14" s="90" t="s">
        <v>18</v>
      </c>
      <c r="B14" s="16" t="s">
        <v>21</v>
      </c>
      <c r="C14" s="16">
        <v>35</v>
      </c>
      <c r="D14" s="12">
        <f>('STDs and Samples'!I17)</f>
        <v>0.42385332992994607</v>
      </c>
      <c r="E14" s="12">
        <f>('STDs and Samples'!J17)</f>
        <v>4162.1473579167578</v>
      </c>
      <c r="F14" s="12"/>
      <c r="G14" s="12"/>
      <c r="H14" s="12"/>
      <c r="I14" s="6"/>
      <c r="J14" s="6"/>
      <c r="K14" s="6"/>
      <c r="L14" s="6"/>
      <c r="M14" s="6"/>
      <c r="N14" s="6"/>
      <c r="O14" s="10"/>
    </row>
    <row r="15" spans="1:16" ht="16.5" x14ac:dyDescent="0.3">
      <c r="A15" s="90" t="s">
        <v>18</v>
      </c>
      <c r="B15" s="16" t="s">
        <v>22</v>
      </c>
      <c r="C15" s="16">
        <v>35</v>
      </c>
      <c r="D15" s="16">
        <f>('STDs and Samples'!I21)</f>
        <v>0.24500029615256524</v>
      </c>
      <c r="E15" s="16">
        <f>('STDs and Samples'!J21)</f>
        <v>4427.5552017219361</v>
      </c>
      <c r="F15" s="16"/>
      <c r="G15" s="16"/>
      <c r="H15" s="16"/>
      <c r="I15" s="6"/>
      <c r="J15" s="6"/>
      <c r="K15" s="6"/>
      <c r="L15" s="6"/>
      <c r="M15" s="6"/>
      <c r="N15" s="6"/>
      <c r="O15" s="10"/>
    </row>
    <row r="16" spans="1:16" ht="17.25" thickBot="1" x14ac:dyDescent="0.35">
      <c r="A16" s="111" t="s">
        <v>18</v>
      </c>
      <c r="B16" s="35" t="s">
        <v>23</v>
      </c>
      <c r="C16" s="35">
        <v>35</v>
      </c>
      <c r="D16" s="35">
        <f>('STDs and Samples'!I25)</f>
        <v>-0.44405454976871239</v>
      </c>
      <c r="E16" s="35">
        <f>('STDs and Samples'!J25)</f>
        <v>9243.1830961200139</v>
      </c>
      <c r="F16" s="35"/>
      <c r="G16" s="35"/>
      <c r="H16" s="35"/>
      <c r="I16" s="112"/>
      <c r="J16" s="112"/>
      <c r="K16" s="112"/>
      <c r="L16" s="112"/>
      <c r="M16" s="112"/>
      <c r="N16" s="112"/>
      <c r="O16" s="113"/>
    </row>
    <row r="17" spans="1:15" ht="16.5" x14ac:dyDescent="0.3">
      <c r="A17" s="116" t="s">
        <v>18</v>
      </c>
      <c r="B17" s="117" t="s">
        <v>19</v>
      </c>
      <c r="C17" s="117">
        <v>50</v>
      </c>
      <c r="D17" s="118">
        <f>('STDs and Samples'!I10)</f>
        <v>-0.436523895714928</v>
      </c>
      <c r="E17" s="118">
        <f>('STDs and Samples'!J10)</f>
        <v>8852.5603966891085</v>
      </c>
      <c r="F17" s="118"/>
      <c r="G17" s="118"/>
      <c r="H17" s="118"/>
      <c r="I17" s="118"/>
      <c r="J17" s="118">
        <f>AVERAGE(D17:D21)</f>
        <v>-0.13454466815817129</v>
      </c>
      <c r="K17" s="118">
        <f>STDEV(D17:D21)</f>
        <v>0.40595001585317275</v>
      </c>
      <c r="L17" s="118">
        <f>K17/SQRT(5)</f>
        <v>0.1815463661829623</v>
      </c>
      <c r="M17" s="118">
        <f>AVERAGE(E17:E21)</f>
        <v>8585.0049652463586</v>
      </c>
      <c r="N17" s="118">
        <f>STDEV(E17:E21)</f>
        <v>1066.9770464073299</v>
      </c>
      <c r="O17" s="119">
        <f>N17/SQRT(5)</f>
        <v>477.16664123974749</v>
      </c>
    </row>
    <row r="18" spans="1:15" ht="16.5" x14ac:dyDescent="0.3">
      <c r="A18" s="102" t="s">
        <v>18</v>
      </c>
      <c r="B18" s="103" t="s">
        <v>20</v>
      </c>
      <c r="C18" s="103">
        <v>50</v>
      </c>
      <c r="D18" s="104">
        <f>('STDs and Samples'!I14)</f>
        <v>-7.1287174106381856E-2</v>
      </c>
      <c r="E18" s="104">
        <f>('STDs and Samples'!J14)</f>
        <v>9351.6620961837634</v>
      </c>
      <c r="F18" s="104"/>
      <c r="G18" s="104"/>
      <c r="H18" s="104"/>
      <c r="I18" s="104"/>
      <c r="J18" s="104"/>
      <c r="K18" s="104"/>
      <c r="L18" s="104"/>
      <c r="M18" s="104"/>
      <c r="N18" s="104"/>
      <c r="O18" s="105"/>
    </row>
    <row r="19" spans="1:15" ht="16.5" x14ac:dyDescent="0.3">
      <c r="A19" s="102" t="s">
        <v>18</v>
      </c>
      <c r="B19" s="103" t="s">
        <v>21</v>
      </c>
      <c r="C19" s="103">
        <v>50</v>
      </c>
      <c r="D19" s="104">
        <f>('STDs and Samples'!I18)</f>
        <v>0.53869580425015906</v>
      </c>
      <c r="E19" s="104">
        <f>('STDs and Samples'!J18)</f>
        <v>7445.6822330609266</v>
      </c>
      <c r="F19" s="104"/>
      <c r="G19" s="104"/>
      <c r="H19" s="104"/>
      <c r="I19" s="104"/>
      <c r="J19" s="104"/>
      <c r="K19" s="104"/>
      <c r="L19" s="104"/>
      <c r="M19" s="104"/>
      <c r="N19" s="104"/>
      <c r="O19" s="105"/>
    </row>
    <row r="20" spans="1:15" ht="16.5" x14ac:dyDescent="0.3">
      <c r="A20" s="102" t="s">
        <v>18</v>
      </c>
      <c r="B20" s="103" t="s">
        <v>22</v>
      </c>
      <c r="C20" s="103">
        <v>50</v>
      </c>
      <c r="D20" s="103">
        <f>('STDs and Samples'!I22)</f>
        <v>-0.44217188625526627</v>
      </c>
      <c r="E20" s="103">
        <f>('STDs and Samples'!J22)</f>
        <v>9775.7231849754353</v>
      </c>
      <c r="F20" s="103"/>
      <c r="G20" s="103"/>
      <c r="H20" s="103"/>
      <c r="I20" s="104"/>
      <c r="J20" s="104"/>
      <c r="K20" s="104"/>
      <c r="L20" s="104"/>
      <c r="M20" s="104"/>
      <c r="N20" s="104"/>
      <c r="O20" s="105"/>
    </row>
    <row r="21" spans="1:15" ht="17.25" thickBot="1" x14ac:dyDescent="0.35">
      <c r="A21" s="107" t="s">
        <v>18</v>
      </c>
      <c r="B21" s="108" t="s">
        <v>23</v>
      </c>
      <c r="C21" s="108">
        <v>50</v>
      </c>
      <c r="D21" s="108">
        <f>('STDs and Samples'!I26)</f>
        <v>-0.26143618896443932</v>
      </c>
      <c r="E21" s="108">
        <f>('STDs and Samples'!J26)</f>
        <v>7499.3969153225644</v>
      </c>
      <c r="F21" s="108"/>
      <c r="G21" s="108"/>
      <c r="H21" s="108"/>
      <c r="I21" s="109"/>
      <c r="J21" s="109"/>
      <c r="K21" s="109"/>
      <c r="L21" s="109"/>
      <c r="M21" s="109"/>
      <c r="N21" s="109"/>
      <c r="O21" s="110"/>
    </row>
    <row r="22" spans="1:15" ht="16.5" x14ac:dyDescent="0.3">
      <c r="A22" s="115" t="s">
        <v>24</v>
      </c>
      <c r="B22" s="93" t="s">
        <v>19</v>
      </c>
      <c r="C22" s="93">
        <v>10</v>
      </c>
      <c r="D22" s="93">
        <f>('STDs and Samples'!I27)</f>
        <v>-7.5052501133274108E-2</v>
      </c>
      <c r="E22" s="93">
        <f>('STDs and Samples'!J27)</f>
        <v>3768.6256650883565</v>
      </c>
      <c r="F22" s="93"/>
      <c r="G22" s="93"/>
      <c r="H22" s="93"/>
      <c r="I22" s="5"/>
      <c r="J22" s="5">
        <f>AVERAGE(D22:D26)</f>
        <v>0.21525421264011668</v>
      </c>
      <c r="K22" s="5">
        <f>STDEV(D22:D26)</f>
        <v>0.20164899448534179</v>
      </c>
      <c r="L22" s="5">
        <f>K22/SQRT(5)</f>
        <v>9.0180171852740895E-2</v>
      </c>
      <c r="M22" s="5">
        <f>AVERAGE(E22:E26)</f>
        <v>3182.1443059816088</v>
      </c>
      <c r="N22" s="5">
        <f>STDEV(E22:E26)</f>
        <v>690.05385470379076</v>
      </c>
      <c r="O22" s="8">
        <f>N22/SQRT(5)</f>
        <v>308.60146545068784</v>
      </c>
    </row>
    <row r="23" spans="1:15" ht="16.5" x14ac:dyDescent="0.3">
      <c r="A23" s="91" t="s">
        <v>24</v>
      </c>
      <c r="B23" s="16" t="s">
        <v>20</v>
      </c>
      <c r="C23" s="16">
        <v>10</v>
      </c>
      <c r="D23" s="12">
        <f>('STDs and Samples'!I31)</f>
        <v>0.10568319615755284</v>
      </c>
      <c r="E23" s="12">
        <f>('STDs and Samples'!J31)</f>
        <v>3993.51424485498</v>
      </c>
      <c r="F23" s="12"/>
      <c r="G23" s="12"/>
      <c r="H23" s="12"/>
      <c r="I23" s="6"/>
      <c r="J23" s="6"/>
      <c r="K23" s="6"/>
      <c r="L23" s="6"/>
      <c r="M23" s="6"/>
      <c r="N23" s="6"/>
      <c r="O23" s="10"/>
    </row>
    <row r="24" spans="1:15" ht="16.5" x14ac:dyDescent="0.3">
      <c r="A24" s="91" t="s">
        <v>24</v>
      </c>
      <c r="B24" s="16" t="s">
        <v>21</v>
      </c>
      <c r="C24" s="16">
        <v>10</v>
      </c>
      <c r="D24" s="12">
        <f>('STDs and Samples'!I35)</f>
        <v>0.36172543398622437</v>
      </c>
      <c r="E24" s="12">
        <f>('STDs and Samples'!J35)</f>
        <v>2703.1123044560509</v>
      </c>
      <c r="F24" s="12"/>
      <c r="G24" s="12"/>
      <c r="H24" s="12"/>
      <c r="I24" s="6"/>
      <c r="J24" s="6"/>
      <c r="K24" s="6"/>
      <c r="L24" s="6"/>
      <c r="M24" s="6"/>
      <c r="N24" s="6"/>
      <c r="O24" s="10"/>
    </row>
    <row r="25" spans="1:15" ht="16.5" x14ac:dyDescent="0.3">
      <c r="A25" s="91" t="s">
        <v>24</v>
      </c>
      <c r="B25" s="16" t="s">
        <v>22</v>
      </c>
      <c r="C25" s="16">
        <v>10</v>
      </c>
      <c r="D25" s="12">
        <f>('STDs and Samples'!I39)</f>
        <v>0.42197066641649994</v>
      </c>
      <c r="E25" s="12">
        <f>('STDs and Samples'!J39)</f>
        <v>3076.8741917130183</v>
      </c>
      <c r="F25" s="12"/>
      <c r="G25" s="12"/>
      <c r="H25" s="12"/>
      <c r="I25" s="6"/>
      <c r="J25" s="6"/>
      <c r="K25" s="6"/>
      <c r="L25" s="6"/>
      <c r="M25" s="6"/>
      <c r="N25" s="6"/>
      <c r="O25" s="10"/>
    </row>
    <row r="26" spans="1:15" ht="17.25" thickBot="1" x14ac:dyDescent="0.35">
      <c r="A26" s="114" t="s">
        <v>24</v>
      </c>
      <c r="B26" s="35" t="s">
        <v>23</v>
      </c>
      <c r="C26" s="35">
        <v>10</v>
      </c>
      <c r="D26" s="46">
        <f>('STDs and Samples'!I43)</f>
        <v>0.26194426777358037</v>
      </c>
      <c r="E26" s="46">
        <f>('STDs and Samples'!J43)</f>
        <v>2368.5951237956374</v>
      </c>
      <c r="F26" s="46"/>
      <c r="G26" s="46"/>
      <c r="H26" s="46"/>
      <c r="I26" s="112"/>
      <c r="J26" s="112"/>
      <c r="K26" s="112"/>
      <c r="L26" s="112"/>
      <c r="M26" s="112"/>
      <c r="N26" s="112"/>
      <c r="O26" s="113"/>
    </row>
    <row r="27" spans="1:15" ht="16.5" x14ac:dyDescent="0.3">
      <c r="A27" s="120" t="s">
        <v>24</v>
      </c>
      <c r="B27" s="117" t="s">
        <v>19</v>
      </c>
      <c r="C27" s="117">
        <v>20</v>
      </c>
      <c r="D27" s="117">
        <f>('STDs and Samples'!I28)</f>
        <v>-0.56266235111581753</v>
      </c>
      <c r="E27" s="117">
        <f>('STDs and Samples'!J28)</f>
        <v>7661.0074667921344</v>
      </c>
      <c r="F27" s="117"/>
      <c r="G27" s="117"/>
      <c r="H27" s="117"/>
      <c r="I27" s="118"/>
      <c r="J27" s="118">
        <f>AVERAGE(D27:D31)</f>
        <v>-0.21286347031752967</v>
      </c>
      <c r="K27" s="118">
        <f>STDEV(D27:D31)</f>
        <v>0.22560719722160616</v>
      </c>
      <c r="L27" s="118">
        <f>K27/SQRT(5)</f>
        <v>0.10089460584014261</v>
      </c>
      <c r="M27" s="118">
        <f>AVERAGE(E27:E31)</f>
        <v>6150.486957027174</v>
      </c>
      <c r="N27" s="118">
        <f>STDEV(E27:E31)</f>
        <v>1851.5316120197888</v>
      </c>
      <c r="O27" s="119">
        <f>N27/SQRT(5)</f>
        <v>828.03010939320279</v>
      </c>
    </row>
    <row r="28" spans="1:15" ht="16.5" x14ac:dyDescent="0.3">
      <c r="A28" s="106" t="s">
        <v>24</v>
      </c>
      <c r="B28" s="103" t="s">
        <v>20</v>
      </c>
      <c r="C28" s="103">
        <v>20</v>
      </c>
      <c r="D28" s="104">
        <f>('STDs and Samples'!I32)</f>
        <v>-0.31979875788126888</v>
      </c>
      <c r="E28" s="104">
        <f>('STDs and Samples'!J32)</f>
        <v>7851.0498127032315</v>
      </c>
      <c r="F28" s="104"/>
      <c r="G28" s="104"/>
      <c r="H28" s="104"/>
      <c r="I28" s="104"/>
      <c r="J28" s="104"/>
      <c r="K28" s="104"/>
      <c r="L28" s="104"/>
      <c r="M28" s="104"/>
      <c r="N28" s="104"/>
      <c r="O28" s="105"/>
    </row>
    <row r="29" spans="1:15" ht="16.5" x14ac:dyDescent="0.3">
      <c r="A29" s="106" t="s">
        <v>24</v>
      </c>
      <c r="B29" s="103" t="s">
        <v>21</v>
      </c>
      <c r="C29" s="103">
        <v>20</v>
      </c>
      <c r="D29" s="104">
        <f>('STDs and Samples'!I36)</f>
        <v>-5.8108529512259088E-2</v>
      </c>
      <c r="E29" s="104">
        <f>('STDs and Samples'!J36)</f>
        <v>5790.8984817429046</v>
      </c>
      <c r="F29" s="104"/>
      <c r="G29" s="104"/>
      <c r="H29" s="104"/>
      <c r="I29" s="104"/>
      <c r="J29" s="104"/>
      <c r="K29" s="104"/>
      <c r="L29" s="104"/>
      <c r="M29" s="104"/>
      <c r="N29" s="104"/>
      <c r="O29" s="105"/>
    </row>
    <row r="30" spans="1:15" ht="16.5" x14ac:dyDescent="0.3">
      <c r="A30" s="106" t="s">
        <v>24</v>
      </c>
      <c r="B30" s="103" t="s">
        <v>22</v>
      </c>
      <c r="C30" s="103">
        <v>20</v>
      </c>
      <c r="D30" s="104">
        <f>('STDs and Samples'!I40)</f>
        <v>-7.3169837619827982E-2</v>
      </c>
      <c r="E30" s="104">
        <f>('STDs and Samples'!J40)</f>
        <v>6198.5569326044933</v>
      </c>
      <c r="F30" s="104"/>
      <c r="G30" s="104"/>
      <c r="H30" s="104"/>
      <c r="I30" s="104"/>
      <c r="J30" s="104"/>
      <c r="K30" s="104"/>
      <c r="L30" s="104"/>
      <c r="M30" s="104"/>
      <c r="N30" s="104"/>
      <c r="O30" s="105"/>
    </row>
    <row r="31" spans="1:15" ht="17.25" thickBot="1" x14ac:dyDescent="0.35">
      <c r="A31" s="121" t="s">
        <v>24</v>
      </c>
      <c r="B31" s="108" t="s">
        <v>23</v>
      </c>
      <c r="C31" s="108">
        <v>20</v>
      </c>
      <c r="D31" s="109">
        <f>('STDs and Samples'!I44)</f>
        <v>-5.0577875458474586E-2</v>
      </c>
      <c r="E31" s="109">
        <f>('STDs and Samples'!J44)</f>
        <v>3250.9220912931064</v>
      </c>
      <c r="F31" s="109"/>
      <c r="G31" s="109"/>
      <c r="H31" s="109"/>
      <c r="I31" s="109"/>
      <c r="J31" s="109"/>
      <c r="K31" s="109"/>
      <c r="L31" s="109"/>
      <c r="M31" s="109"/>
      <c r="N31" s="109"/>
      <c r="O31" s="110"/>
    </row>
    <row r="32" spans="1:15" ht="16.5" x14ac:dyDescent="0.3">
      <c r="A32" s="115" t="s">
        <v>24</v>
      </c>
      <c r="B32" s="93" t="s">
        <v>19</v>
      </c>
      <c r="C32" s="93">
        <v>35</v>
      </c>
      <c r="D32" s="93">
        <f>('STDs and Samples'!I29)</f>
        <v>-0.19742562950727149</v>
      </c>
      <c r="E32" s="93">
        <f>('STDs and Samples'!J29)</f>
        <v>6744.3340918869835</v>
      </c>
      <c r="F32" s="93"/>
      <c r="G32" s="93"/>
      <c r="H32" s="93"/>
      <c r="I32" s="5"/>
      <c r="J32" s="5">
        <f>AVERAGE(D32:D36)</f>
        <v>-0.1612784900491061</v>
      </c>
      <c r="K32" s="5">
        <f>STDEV(D32:D36)</f>
        <v>0.15139588215062635</v>
      </c>
      <c r="L32" s="5">
        <f>K32/SQRT(5)</f>
        <v>6.7706296800469509E-2</v>
      </c>
      <c r="M32" s="5">
        <f>AVERAGE(E32:E36)</f>
        <v>7147.1358957636894</v>
      </c>
      <c r="N32" s="5">
        <f>STDEV(E32:E36)</f>
        <v>1978.1545518250191</v>
      </c>
      <c r="O32" s="8">
        <f>N32/SQRT(5)</f>
        <v>884.65760957627458</v>
      </c>
    </row>
    <row r="33" spans="1:15" ht="16.5" x14ac:dyDescent="0.3">
      <c r="A33" s="91" t="s">
        <v>24</v>
      </c>
      <c r="B33" s="16" t="s">
        <v>20</v>
      </c>
      <c r="C33" s="16">
        <v>35</v>
      </c>
      <c r="D33" s="12">
        <f>('STDs and Samples'!I33)</f>
        <v>-0.4064012794997901</v>
      </c>
      <c r="E33" s="12">
        <f>('STDs and Samples'!J33)</f>
        <v>10524.91304764885</v>
      </c>
      <c r="F33" s="12"/>
      <c r="G33" s="12"/>
      <c r="H33" s="12"/>
      <c r="I33" s="6"/>
      <c r="J33" s="6"/>
      <c r="K33" s="6"/>
      <c r="L33" s="6"/>
      <c r="M33" s="6"/>
      <c r="N33" s="6"/>
      <c r="O33" s="10"/>
    </row>
    <row r="34" spans="1:15" ht="16.5" x14ac:dyDescent="0.3">
      <c r="A34" s="91" t="s">
        <v>24</v>
      </c>
      <c r="B34" s="16" t="s">
        <v>21</v>
      </c>
      <c r="C34" s="16">
        <v>35</v>
      </c>
      <c r="D34" s="12">
        <f>('STDs and Samples'!I37)</f>
        <v>-6.9404510592935731E-2</v>
      </c>
      <c r="E34" s="12">
        <f>('STDs and Samples'!J37)</f>
        <v>6273.6725172746537</v>
      </c>
      <c r="F34" s="12"/>
      <c r="G34" s="12"/>
      <c r="H34" s="12"/>
      <c r="I34" s="6"/>
      <c r="J34" s="6"/>
      <c r="K34" s="6"/>
      <c r="L34" s="6"/>
      <c r="M34" s="6"/>
      <c r="N34" s="6"/>
      <c r="O34" s="10"/>
    </row>
    <row r="35" spans="1:15" ht="16.5" x14ac:dyDescent="0.3">
      <c r="A35" s="91" t="s">
        <v>24</v>
      </c>
      <c r="B35" s="16" t="s">
        <v>22</v>
      </c>
      <c r="C35" s="16">
        <v>35</v>
      </c>
      <c r="D35" s="12">
        <f>('STDs and Samples'!I41)</f>
        <v>-0.11082310788875027</v>
      </c>
      <c r="E35" s="12">
        <f>('STDs and Samples'!J41)</f>
        <v>6841.242109683144</v>
      </c>
      <c r="F35" s="12"/>
      <c r="G35" s="12"/>
      <c r="H35" s="12"/>
      <c r="I35" s="6"/>
      <c r="J35" s="6"/>
      <c r="K35" s="6"/>
      <c r="L35" s="6"/>
      <c r="M35" s="6"/>
      <c r="N35" s="6"/>
      <c r="O35" s="10"/>
    </row>
    <row r="36" spans="1:15" ht="17.25" thickBot="1" x14ac:dyDescent="0.35">
      <c r="A36" s="114" t="s">
        <v>24</v>
      </c>
      <c r="B36" s="35" t="s">
        <v>23</v>
      </c>
      <c r="C36" s="35">
        <v>35</v>
      </c>
      <c r="D36" s="46">
        <f>('STDs and Samples'!I45)</f>
        <v>-2.2337922756782924E-2</v>
      </c>
      <c r="E36" s="46">
        <f>('STDs and Samples'!J45)</f>
        <v>5351.5177123248141</v>
      </c>
      <c r="F36" s="46"/>
      <c r="G36" s="46"/>
      <c r="H36" s="46"/>
      <c r="I36" s="112"/>
      <c r="J36" s="112"/>
      <c r="K36" s="112"/>
      <c r="L36" s="112"/>
      <c r="M36" s="112"/>
      <c r="N36" s="112"/>
      <c r="O36" s="113"/>
    </row>
    <row r="37" spans="1:15" ht="16.5" x14ac:dyDescent="0.3">
      <c r="A37" s="120" t="s">
        <v>24</v>
      </c>
      <c r="B37" s="117" t="s">
        <v>19</v>
      </c>
      <c r="C37" s="117">
        <v>50</v>
      </c>
      <c r="D37" s="117">
        <f>('STDs and Samples'!I30)</f>
        <v>-0.421462587607359</v>
      </c>
      <c r="E37" s="117">
        <f>('STDs and Samples'!J30)</f>
        <v>13526.637441057757</v>
      </c>
      <c r="F37" s="117"/>
      <c r="G37" s="117"/>
      <c r="H37" s="117"/>
      <c r="I37" s="118"/>
      <c r="J37" s="118">
        <f>AVERAGE(D37:D41)</f>
        <v>-0.35142750490716357</v>
      </c>
      <c r="K37" s="118">
        <f>STDEV(D37:D41)</f>
        <v>0.19485067133141318</v>
      </c>
      <c r="L37" s="118">
        <f>K37/SQRT(5)</f>
        <v>8.7139869311701854E-2</v>
      </c>
      <c r="M37" s="118">
        <f>AVERAGE(E37:E41)</f>
        <v>11833.497008132184</v>
      </c>
      <c r="N37" s="118">
        <f>STDEV(E37:E41)</f>
        <v>2063.0557739134792</v>
      </c>
      <c r="O37" s="119">
        <f>N37/SQRT(5)</f>
        <v>922.62659036879529</v>
      </c>
    </row>
    <row r="38" spans="1:15" ht="16.5" x14ac:dyDescent="0.3">
      <c r="A38" s="106" t="s">
        <v>24</v>
      </c>
      <c r="B38" s="103" t="s">
        <v>20</v>
      </c>
      <c r="C38" s="103">
        <v>50</v>
      </c>
      <c r="D38" s="104">
        <f>('STDs and Samples'!I34)</f>
        <v>-0.44028922274182014</v>
      </c>
      <c r="E38" s="104">
        <f>('STDs and Samples'!J34)</f>
        <v>11486.4541766888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5"/>
    </row>
    <row r="39" spans="1:15" ht="16.5" x14ac:dyDescent="0.3">
      <c r="A39" s="106" t="s">
        <v>24</v>
      </c>
      <c r="B39" s="103" t="s">
        <v>21</v>
      </c>
      <c r="C39" s="103">
        <v>50</v>
      </c>
      <c r="D39" s="104">
        <f>('STDs and Samples'!I38)</f>
        <v>-0.28026282409890046</v>
      </c>
      <c r="E39" s="104">
        <f>('STDs and Samples'!J38)</f>
        <v>14372.127199349123</v>
      </c>
      <c r="F39" s="104"/>
      <c r="G39" s="104"/>
      <c r="H39" s="104"/>
      <c r="I39" s="104"/>
      <c r="J39" s="104"/>
      <c r="K39" s="104"/>
      <c r="L39" s="104"/>
      <c r="M39" s="104"/>
      <c r="N39" s="104"/>
      <c r="O39" s="105"/>
    </row>
    <row r="40" spans="1:15" ht="16.5" x14ac:dyDescent="0.3">
      <c r="A40" s="106" t="s">
        <v>24</v>
      </c>
      <c r="B40" s="103" t="s">
        <v>22</v>
      </c>
      <c r="C40" s="103">
        <v>50</v>
      </c>
      <c r="D40" s="104">
        <f>('STDs and Samples'!I42)</f>
        <v>-5.2460538971920712E-2</v>
      </c>
      <c r="E40" s="104">
        <f>('STDs and Samples'!J42)</f>
        <v>9737.1282527610783</v>
      </c>
      <c r="F40" s="104"/>
      <c r="G40" s="104"/>
      <c r="H40" s="104"/>
      <c r="I40" s="104"/>
      <c r="J40" s="104"/>
      <c r="K40" s="104"/>
      <c r="L40" s="104"/>
      <c r="M40" s="104"/>
      <c r="N40" s="104"/>
      <c r="O40" s="105"/>
    </row>
    <row r="41" spans="1:15" ht="17.25" thickBot="1" x14ac:dyDescent="0.35">
      <c r="A41" s="121" t="s">
        <v>24</v>
      </c>
      <c r="B41" s="108" t="s">
        <v>23</v>
      </c>
      <c r="C41" s="108">
        <v>50</v>
      </c>
      <c r="D41" s="109">
        <f>('STDs and Samples'!I46)</f>
        <v>-0.56266235111581753</v>
      </c>
      <c r="E41" s="109">
        <f>('STDs and Samples'!J46)</f>
        <v>10045.137970804164</v>
      </c>
      <c r="F41" s="109"/>
      <c r="G41" s="109"/>
      <c r="H41" s="109"/>
      <c r="I41" s="109"/>
      <c r="J41" s="109"/>
      <c r="K41" s="109"/>
      <c r="L41" s="109"/>
      <c r="M41" s="109"/>
      <c r="N41" s="109"/>
      <c r="O41" s="110"/>
    </row>
    <row r="42" spans="1:15" ht="16.5" x14ac:dyDescent="0.3">
      <c r="A42" s="92" t="s">
        <v>25</v>
      </c>
      <c r="B42" s="93" t="s">
        <v>19</v>
      </c>
      <c r="C42" s="93">
        <v>10</v>
      </c>
      <c r="D42" s="94">
        <f>('STDs and Samples'!I47)</f>
        <v>0.37866940560723927</v>
      </c>
      <c r="E42" s="94">
        <f>('STDs and Samples'!J47)</f>
        <v>1625.5947786346915</v>
      </c>
      <c r="F42" s="94"/>
      <c r="G42" s="94"/>
      <c r="H42" s="94"/>
      <c r="I42" s="5"/>
      <c r="J42" s="5">
        <f>AVERAGE(D42:D46)</f>
        <v>0.22918592263961787</v>
      </c>
      <c r="K42" s="5">
        <f>STDEV(D42:D46)</f>
        <v>0.11762956359775123</v>
      </c>
      <c r="L42" s="5">
        <f>K42/SQRT(5)</f>
        <v>5.2605540073641294E-2</v>
      </c>
      <c r="M42" s="5">
        <f>AVERAGE(E42:E46)</f>
        <v>3758.4658594918465</v>
      </c>
      <c r="N42" s="5">
        <f>STDEV(E42:E46)</f>
        <v>1747.4176815522019</v>
      </c>
      <c r="O42" s="8">
        <f>N42/SQRT(5)</f>
        <v>781.46894420716069</v>
      </c>
    </row>
    <row r="43" spans="1:15" ht="16.5" x14ac:dyDescent="0.3">
      <c r="A43" s="90" t="s">
        <v>25</v>
      </c>
      <c r="B43" s="16" t="s">
        <v>20</v>
      </c>
      <c r="C43" s="16">
        <v>10</v>
      </c>
      <c r="D43" s="12">
        <f>('STDs and Samples'!I51)</f>
        <v>0.18287240020884354</v>
      </c>
      <c r="E43" s="12">
        <f>('STDs and Samples'!J51)</f>
        <v>5232.0675217308872</v>
      </c>
      <c r="F43" s="12"/>
      <c r="G43" s="12"/>
      <c r="H43" s="12"/>
      <c r="I43" s="6"/>
      <c r="J43" s="6"/>
      <c r="K43" s="6"/>
      <c r="L43" s="6"/>
      <c r="M43" s="6"/>
      <c r="N43" s="6"/>
      <c r="O43" s="10"/>
    </row>
    <row r="44" spans="1:15" ht="16.5" x14ac:dyDescent="0.3">
      <c r="A44" s="90" t="s">
        <v>25</v>
      </c>
      <c r="B44" s="16" t="s">
        <v>21</v>
      </c>
      <c r="C44" s="16">
        <v>10</v>
      </c>
      <c r="D44" s="12">
        <f>('STDs and Samples'!I55)</f>
        <v>0.25064828669290362</v>
      </c>
      <c r="E44" s="12">
        <f>('STDs and Samples'!J55)</f>
        <v>4652.7270164756719</v>
      </c>
      <c r="F44" s="12"/>
      <c r="G44" s="12"/>
      <c r="H44" s="12"/>
      <c r="I44" s="6"/>
      <c r="J44" s="6"/>
      <c r="K44" s="6"/>
      <c r="L44" s="6"/>
      <c r="M44" s="6"/>
      <c r="N44" s="6"/>
      <c r="O44" s="10"/>
    </row>
    <row r="45" spans="1:15" ht="16.5" x14ac:dyDescent="0.3">
      <c r="A45" s="90" t="s">
        <v>25</v>
      </c>
      <c r="B45" s="16" t="s">
        <v>22</v>
      </c>
      <c r="C45" s="16">
        <v>10</v>
      </c>
      <c r="D45" s="12">
        <f>('STDs and Samples'!I59)</f>
        <v>0.27324024885425691</v>
      </c>
      <c r="E45" s="12">
        <f>('STDs and Samples'!J59)</f>
        <v>2113.5670092240193</v>
      </c>
      <c r="F45" s="12"/>
      <c r="G45" s="12"/>
      <c r="H45" s="12"/>
      <c r="I45" s="6"/>
      <c r="J45" s="6"/>
      <c r="K45" s="6"/>
      <c r="L45" s="6"/>
      <c r="M45" s="6"/>
      <c r="N45" s="6"/>
      <c r="O45" s="10"/>
    </row>
    <row r="46" spans="1:15" ht="17.25" thickBot="1" x14ac:dyDescent="0.35">
      <c r="A46" s="111" t="s">
        <v>25</v>
      </c>
      <c r="B46" s="35" t="s">
        <v>23</v>
      </c>
      <c r="C46" s="35">
        <v>10</v>
      </c>
      <c r="D46" s="46">
        <f>('STDs and Samples'!I63)</f>
        <v>6.0499271834846047E-2</v>
      </c>
      <c r="E46" s="46">
        <f>('STDs and Samples'!J63)</f>
        <v>5168.3729713939647</v>
      </c>
      <c r="F46" s="46"/>
      <c r="G46" s="46"/>
      <c r="H46" s="46"/>
      <c r="I46" s="112"/>
      <c r="J46" s="112"/>
      <c r="K46" s="112"/>
      <c r="L46" s="112"/>
      <c r="M46" s="112"/>
      <c r="N46" s="112"/>
      <c r="O46" s="113"/>
    </row>
    <row r="47" spans="1:15" ht="16.5" x14ac:dyDescent="0.3">
      <c r="A47" s="116" t="s">
        <v>25</v>
      </c>
      <c r="B47" s="117" t="s">
        <v>19</v>
      </c>
      <c r="C47" s="117">
        <v>20</v>
      </c>
      <c r="D47" s="118">
        <f>('STDs and Samples'!I48)</f>
        <v>-0.49488646463175751</v>
      </c>
      <c r="E47" s="118">
        <f>('STDs and Samples'!J48)</f>
        <v>8184.8089232510811</v>
      </c>
      <c r="F47" s="118"/>
      <c r="G47" s="118"/>
      <c r="H47" s="118"/>
      <c r="I47" s="118"/>
      <c r="J47" s="118">
        <f>AVERAGE(D47:D51)</f>
        <v>-0.50844164192856955</v>
      </c>
      <c r="K47" s="118">
        <f>STDEV(D47:D51)</f>
        <v>1.9263981245811395E-2</v>
      </c>
      <c r="L47" s="118">
        <f>K47/SQRT(5)</f>
        <v>8.6151143165830724E-3</v>
      </c>
      <c r="M47" s="118">
        <f>AVERAGE(E47:E51)</f>
        <v>9269.6505726215146</v>
      </c>
      <c r="N47" s="118">
        <f>STDEV(E47:E51)</f>
        <v>1996.3986765140332</v>
      </c>
      <c r="O47" s="119">
        <f>N47/SQRT(5)</f>
        <v>892.81663017519816</v>
      </c>
    </row>
    <row r="48" spans="1:15" ht="16.5" x14ac:dyDescent="0.3">
      <c r="A48" s="102" t="s">
        <v>25</v>
      </c>
      <c r="B48" s="103" t="s">
        <v>20</v>
      </c>
      <c r="C48" s="103">
        <v>20</v>
      </c>
      <c r="D48" s="104">
        <f>('STDs and Samples'!I52)</f>
        <v>-0.52500908084689524</v>
      </c>
      <c r="E48" s="104">
        <f>('STDs and Samples'!J52)</f>
        <v>11366.129289811146</v>
      </c>
      <c r="F48" s="104"/>
      <c r="G48" s="104"/>
      <c r="H48" s="104"/>
      <c r="I48" s="104"/>
      <c r="J48" s="104"/>
      <c r="K48" s="104"/>
      <c r="L48" s="104"/>
      <c r="M48" s="104"/>
      <c r="N48" s="104"/>
      <c r="O48" s="105"/>
    </row>
    <row r="49" spans="1:15" ht="16.5" x14ac:dyDescent="0.3">
      <c r="A49" s="102" t="s">
        <v>25</v>
      </c>
      <c r="B49" s="103" t="s">
        <v>21</v>
      </c>
      <c r="C49" s="103">
        <v>20</v>
      </c>
      <c r="D49" s="104">
        <f>('STDs and Samples'!I56)</f>
        <v>-0.48547314706452693</v>
      </c>
      <c r="E49" s="104">
        <f>('STDs and Samples'!J56)</f>
        <v>10851.216413683025</v>
      </c>
      <c r="F49" s="104"/>
      <c r="G49" s="104"/>
      <c r="H49" s="104"/>
      <c r="I49" s="104"/>
      <c r="J49" s="104"/>
      <c r="K49" s="104"/>
      <c r="L49" s="104"/>
      <c r="M49" s="104"/>
      <c r="N49" s="104"/>
      <c r="O49" s="105"/>
    </row>
    <row r="50" spans="1:15" ht="16.5" x14ac:dyDescent="0.3">
      <c r="A50" s="102" t="s">
        <v>25</v>
      </c>
      <c r="B50" s="103" t="s">
        <v>22</v>
      </c>
      <c r="C50" s="103">
        <v>20</v>
      </c>
      <c r="D50" s="104">
        <f>('STDs and Samples'!I60)</f>
        <v>-0.5061824457124342</v>
      </c>
      <c r="E50" s="104">
        <f>('STDs and Samples'!J60)</f>
        <v>6471.945338693582</v>
      </c>
      <c r="F50" s="104"/>
      <c r="G50" s="104"/>
      <c r="H50" s="104"/>
      <c r="I50" s="104"/>
      <c r="J50" s="104"/>
      <c r="K50" s="104"/>
      <c r="L50" s="104"/>
      <c r="M50" s="104"/>
      <c r="N50" s="104"/>
      <c r="O50" s="105"/>
    </row>
    <row r="51" spans="1:15" ht="17.25" thickBot="1" x14ac:dyDescent="0.35">
      <c r="A51" s="107" t="s">
        <v>25</v>
      </c>
      <c r="B51" s="108" t="s">
        <v>23</v>
      </c>
      <c r="C51" s="108">
        <v>20</v>
      </c>
      <c r="D51" s="109">
        <f>('STDs and Samples'!I64)</f>
        <v>-0.53065707138723361</v>
      </c>
      <c r="E51" s="109">
        <f>('STDs and Samples'!J64)</f>
        <v>9474.1528976687405</v>
      </c>
      <c r="F51" s="109"/>
      <c r="G51" s="109"/>
      <c r="H51" s="109"/>
      <c r="I51" s="109"/>
      <c r="J51" s="109"/>
      <c r="K51" s="109"/>
      <c r="L51" s="109"/>
      <c r="M51" s="109"/>
      <c r="N51" s="109"/>
      <c r="O51" s="110"/>
    </row>
    <row r="52" spans="1:15" ht="16.5" x14ac:dyDescent="0.3">
      <c r="A52" s="92" t="s">
        <v>25</v>
      </c>
      <c r="B52" s="93" t="s">
        <v>19</v>
      </c>
      <c r="C52" s="93">
        <v>35</v>
      </c>
      <c r="D52" s="94">
        <f>('STDs and Samples'!I49)</f>
        <v>-0.38757464436532896</v>
      </c>
      <c r="E52" s="94">
        <f>('STDs and Samples'!J49)</f>
        <v>7859.5635231981742</v>
      </c>
      <c r="F52" s="94"/>
      <c r="G52" s="94"/>
      <c r="H52" s="94"/>
      <c r="I52" s="5"/>
      <c r="J52" s="5">
        <f>AVERAGE(D52:D56)</f>
        <v>-0.31678649625975513</v>
      </c>
      <c r="K52" s="5">
        <f>STDEV(D52:D56)</f>
        <v>0.22236400090704003</v>
      </c>
      <c r="L52" s="5">
        <f>K52/SQRT(5)</f>
        <v>9.9444204355393279E-2</v>
      </c>
      <c r="M52" s="5">
        <f>AVERAGE(E52:E56)</f>
        <v>10803.722904608887</v>
      </c>
      <c r="N52" s="5">
        <f>STDEV(E52:E56)</f>
        <v>4926.1356850381726</v>
      </c>
      <c r="O52" s="8">
        <f>N52/SQRT(5)</f>
        <v>2203.0348516265694</v>
      </c>
    </row>
    <row r="53" spans="1:15" ht="16.5" x14ac:dyDescent="0.3">
      <c r="A53" s="90" t="s">
        <v>25</v>
      </c>
      <c r="B53" s="16" t="s">
        <v>20</v>
      </c>
      <c r="C53" s="16">
        <v>35</v>
      </c>
      <c r="D53" s="12">
        <f>('STDs and Samples'!I53)</f>
        <v>-0.1597723592383492</v>
      </c>
      <c r="E53" s="12">
        <f>('STDs and Samples'!J53)</f>
        <v>9699.0831296393499</v>
      </c>
      <c r="F53" s="12"/>
      <c r="G53" s="12"/>
      <c r="H53" s="12"/>
      <c r="I53" s="6"/>
      <c r="J53" s="6"/>
      <c r="K53" s="6"/>
      <c r="L53" s="6"/>
      <c r="M53" s="6"/>
      <c r="N53" s="6"/>
      <c r="O53" s="10"/>
    </row>
    <row r="54" spans="1:15" ht="16.5" x14ac:dyDescent="0.3">
      <c r="A54" s="90" t="s">
        <v>25</v>
      </c>
      <c r="B54" s="16" t="s">
        <v>21</v>
      </c>
      <c r="C54" s="16">
        <v>35</v>
      </c>
      <c r="D54" s="12">
        <f>('STDs and Samples'!I57)</f>
        <v>-2.422058627022905E-2</v>
      </c>
      <c r="E54" s="12">
        <f>('STDs and Samples'!J57)</f>
        <v>8046.8151714421419</v>
      </c>
      <c r="F54" s="12"/>
      <c r="G54" s="12"/>
      <c r="H54" s="12"/>
      <c r="I54" s="6"/>
      <c r="J54" s="6"/>
      <c r="K54" s="6"/>
      <c r="L54" s="6"/>
      <c r="M54" s="6"/>
      <c r="N54" s="6"/>
      <c r="O54" s="10"/>
    </row>
    <row r="55" spans="1:15" ht="16.5" x14ac:dyDescent="0.3">
      <c r="A55" s="90" t="s">
        <v>25</v>
      </c>
      <c r="B55" s="16" t="s">
        <v>22</v>
      </c>
      <c r="C55" s="16">
        <v>35</v>
      </c>
      <c r="D55" s="12">
        <f>('STDs and Samples'!I61)</f>
        <v>-0.57960632273683266</v>
      </c>
      <c r="E55" s="12">
        <f>('STDs and Samples'!J61)</f>
        <v>8895.2872275389764</v>
      </c>
      <c r="F55" s="12"/>
      <c r="G55" s="12"/>
      <c r="H55" s="12"/>
      <c r="I55" s="6"/>
      <c r="J55" s="6"/>
      <c r="K55" s="6"/>
      <c r="L55" s="6"/>
      <c r="M55" s="6"/>
      <c r="N55" s="6"/>
      <c r="O55" s="10"/>
    </row>
    <row r="56" spans="1:15" ht="17.25" thickBot="1" x14ac:dyDescent="0.35">
      <c r="A56" s="111" t="s">
        <v>25</v>
      </c>
      <c r="B56" s="35" t="s">
        <v>23</v>
      </c>
      <c r="C56" s="35">
        <v>35</v>
      </c>
      <c r="D56" s="46">
        <f>('STDs and Samples'!I65)</f>
        <v>-0.43275856868803575</v>
      </c>
      <c r="E56" s="46">
        <f>('STDs and Samples'!J65)</f>
        <v>19517.865471225792</v>
      </c>
      <c r="F56" s="46"/>
      <c r="G56" s="46"/>
      <c r="H56" s="46"/>
      <c r="I56" s="112"/>
      <c r="J56" s="112"/>
      <c r="K56" s="112"/>
      <c r="L56" s="112"/>
      <c r="M56" s="112"/>
      <c r="N56" s="112"/>
      <c r="O56" s="113"/>
    </row>
    <row r="57" spans="1:15" ht="16.5" x14ac:dyDescent="0.3">
      <c r="A57" s="116" t="s">
        <v>25</v>
      </c>
      <c r="B57" s="117" t="s">
        <v>19</v>
      </c>
      <c r="C57" s="117">
        <v>50</v>
      </c>
      <c r="D57" s="118">
        <f>('STDs and Samples'!I50)</f>
        <v>-0.96555234299328596</v>
      </c>
      <c r="E57" s="118">
        <f>('STDs and Samples'!J50)</f>
        <v>15891.56627903178</v>
      </c>
      <c r="F57" s="118"/>
      <c r="G57" s="118"/>
      <c r="H57" s="118"/>
      <c r="I57" s="118"/>
      <c r="J57" s="118">
        <f>AVERAGE(D57:D61)</f>
        <v>-0.39623489652718114</v>
      </c>
      <c r="K57" s="118">
        <f>STDEV(D57:D61)</f>
        <v>0.45271814140066147</v>
      </c>
      <c r="L57" s="118">
        <f>K57/SQRT(5)</f>
        <v>0.20246170776384817</v>
      </c>
      <c r="M57" s="118">
        <f>AVERAGE(E57:E61)</f>
        <v>14529.660833092445</v>
      </c>
      <c r="N57" s="118">
        <f>STDEV(E57:E61)</f>
        <v>5892.3957137024181</v>
      </c>
      <c r="O57" s="119">
        <f>N57/SQRT(5)</f>
        <v>2635.1594732333992</v>
      </c>
    </row>
    <row r="58" spans="1:15" ht="16.5" x14ac:dyDescent="0.3">
      <c r="A58" s="102" t="s">
        <v>25</v>
      </c>
      <c r="B58" s="103" t="s">
        <v>20</v>
      </c>
      <c r="C58" s="103">
        <v>50</v>
      </c>
      <c r="D58" s="104">
        <f>('STDs and Samples'!I54)</f>
        <v>0.25064828669290362</v>
      </c>
      <c r="E58" s="104">
        <f>('STDs and Samples'!J54)</f>
        <v>7133.3573466847884</v>
      </c>
      <c r="F58" s="104"/>
      <c r="G58" s="104"/>
      <c r="H58" s="104"/>
      <c r="I58" s="104"/>
      <c r="J58" s="104"/>
      <c r="K58" s="104"/>
      <c r="L58" s="104"/>
      <c r="M58" s="104"/>
      <c r="N58" s="104"/>
      <c r="O58" s="105"/>
    </row>
    <row r="59" spans="1:15" ht="16.5" x14ac:dyDescent="0.3">
      <c r="A59" s="102" t="s">
        <v>25</v>
      </c>
      <c r="B59" s="103" t="s">
        <v>21</v>
      </c>
      <c r="C59" s="103">
        <v>50</v>
      </c>
      <c r="D59" s="104">
        <f>('STDs and Samples'!I58)</f>
        <v>-0.19930829302071762</v>
      </c>
      <c r="E59" s="104">
        <f>('STDs and Samples'!J58)</f>
        <v>21472.470117283054</v>
      </c>
      <c r="F59" s="104"/>
      <c r="G59" s="104"/>
      <c r="H59" s="104"/>
      <c r="I59" s="104"/>
      <c r="J59" s="104"/>
      <c r="K59" s="104"/>
      <c r="L59" s="104"/>
      <c r="M59" s="104"/>
      <c r="N59" s="104"/>
      <c r="O59" s="105"/>
    </row>
    <row r="60" spans="1:15" ht="16.5" x14ac:dyDescent="0.3">
      <c r="A60" s="102" t="s">
        <v>25</v>
      </c>
      <c r="B60" s="103" t="s">
        <v>22</v>
      </c>
      <c r="C60" s="103">
        <v>50</v>
      </c>
      <c r="D60" s="104">
        <f>('STDs and Samples'!I62)</f>
        <v>-0.55324903354858701</v>
      </c>
      <c r="E60" s="104">
        <f>('STDs and Samples'!J62)</f>
        <v>9970.2139862723434</v>
      </c>
      <c r="F60" s="104"/>
      <c r="G60" s="104"/>
      <c r="H60" s="104"/>
      <c r="I60" s="104"/>
      <c r="J60" s="104"/>
      <c r="K60" s="104"/>
      <c r="L60" s="104"/>
      <c r="M60" s="104"/>
      <c r="N60" s="104"/>
      <c r="O60" s="105"/>
    </row>
    <row r="61" spans="1:15" ht="17.25" thickBot="1" x14ac:dyDescent="0.35">
      <c r="A61" s="107" t="s">
        <v>25</v>
      </c>
      <c r="B61" s="108" t="s">
        <v>23</v>
      </c>
      <c r="C61" s="108">
        <v>50</v>
      </c>
      <c r="D61" s="109">
        <f>('STDs and Samples'!I66)</f>
        <v>-0.51371309976621871</v>
      </c>
      <c r="E61" s="109">
        <f>('STDs and Samples'!J66)</f>
        <v>18180.696436190257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10"/>
    </row>
    <row r="62" spans="1:15" ht="16.5" x14ac:dyDescent="0.3">
      <c r="A62" s="79"/>
      <c r="B62" s="79"/>
      <c r="C62" s="79"/>
      <c r="D62" s="79"/>
      <c r="E62" s="79"/>
      <c r="F62" s="79"/>
      <c r="G62" s="79"/>
      <c r="H62" s="79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Stearns, Alice</cp:lastModifiedBy>
  <cp:lastPrinted>2021-07-14T18:10:05Z</cp:lastPrinted>
  <dcterms:created xsi:type="dcterms:W3CDTF">2014-08-19T17:33:21Z</dcterms:created>
  <dcterms:modified xsi:type="dcterms:W3CDTF">2021-12-01T19:15:24Z</dcterms:modified>
</cp:coreProperties>
</file>