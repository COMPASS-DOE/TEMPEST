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real/Data/gas_wells/TEMPEST_SGW_2021_Data/2021 Raw Data/"/>
    </mc:Choice>
  </mc:AlternateContent>
  <xr:revisionPtr revIDLastSave="0" documentId="13_ncr:1_{B8A287D9-D783-4171-8831-11A45C769926}" xr6:coauthVersionLast="47" xr6:coauthVersionMax="47" xr10:uidLastSave="{00000000-0000-0000-0000-000000000000}"/>
  <bookViews>
    <workbookView xWindow="-19320" yWindow="690" windowWidth="19440" windowHeight="14880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31" i="1" l="1"/>
  <c r="J34" i="1"/>
  <c r="I17" i="1"/>
  <c r="P26" i="1"/>
  <c r="P8" i="1"/>
  <c r="P42" i="1" l="1"/>
  <c r="P43" i="1"/>
  <c r="P41" i="1"/>
  <c r="O42" i="1"/>
  <c r="P29" i="1"/>
  <c r="O29" i="1"/>
  <c r="O43" i="1" l="1"/>
  <c r="O41" i="1"/>
  <c r="O38" i="1"/>
  <c r="O14" i="1"/>
  <c r="P14" i="1"/>
  <c r="P11" i="1"/>
  <c r="P38" i="1" l="1"/>
  <c r="P35" i="1"/>
  <c r="O35" i="1"/>
  <c r="P32" i="1"/>
  <c r="O32" i="1"/>
  <c r="O26" i="1"/>
  <c r="P20" i="1"/>
  <c r="O20" i="1"/>
  <c r="P17" i="1"/>
  <c r="O17" i="1"/>
  <c r="O11" i="1"/>
  <c r="O8" i="1"/>
  <c r="AA14" i="1" l="1"/>
  <c r="AA30" i="1"/>
  <c r="AA29" i="1"/>
  <c r="AA15" i="1"/>
  <c r="AA16" i="1"/>
  <c r="I7" i="1" l="1"/>
  <c r="D2" i="2" s="1"/>
  <c r="I25" i="1"/>
  <c r="D16" i="2" s="1"/>
  <c r="I19" i="1"/>
  <c r="D5" i="2" s="1"/>
  <c r="I48" i="1"/>
  <c r="D47" i="2" s="1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D14" i="2"/>
  <c r="I20" i="1"/>
  <c r="D10" i="2" s="1"/>
  <c r="I56" i="1"/>
  <c r="D49" i="2" s="1"/>
  <c r="I53" i="1"/>
  <c r="D53" i="2" s="1"/>
  <c r="I55" i="1"/>
  <c r="D44" i="2" s="1"/>
  <c r="I62" i="1"/>
  <c r="D60" i="2" s="1"/>
  <c r="I42" i="1"/>
  <c r="D40" i="2" s="1"/>
  <c r="I29" i="1"/>
  <c r="D32" i="2" s="1"/>
  <c r="I49" i="1"/>
  <c r="D52" i="2" s="1"/>
  <c r="I27" i="1"/>
  <c r="D22" i="2" s="1"/>
  <c r="I64" i="1"/>
  <c r="D51" i="2" s="1"/>
  <c r="I12" i="1"/>
  <c r="D8" i="2" s="1"/>
  <c r="I22" i="1"/>
  <c r="D20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I51" i="1"/>
  <c r="D43" i="2" s="1"/>
  <c r="I57" i="1"/>
  <c r="D54" i="2" s="1"/>
  <c r="I36" i="1"/>
  <c r="D29" i="2" s="1"/>
  <c r="I46" i="1"/>
  <c r="D41" i="2" s="1"/>
  <c r="I33" i="1"/>
  <c r="D33" i="2" s="1"/>
  <c r="I50" i="1"/>
  <c r="D57" i="2" s="1"/>
  <c r="I59" i="1"/>
  <c r="D45" i="2" s="1"/>
  <c r="I18" i="1"/>
  <c r="D19" i="2" s="1"/>
  <c r="I44" i="1"/>
  <c r="D31" i="2" s="1"/>
  <c r="I54" i="1"/>
  <c r="D58" i="2" s="1"/>
  <c r="I13" i="1"/>
  <c r="D13" i="2" s="1"/>
  <c r="I15" i="1"/>
  <c r="D4" i="2" s="1"/>
  <c r="I16" i="1"/>
  <c r="D9" i="2" s="1"/>
  <c r="I34" i="1"/>
  <c r="D38" i="2" s="1"/>
  <c r="I52" i="1"/>
  <c r="D48" i="2" s="1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54" i="1"/>
  <c r="E58" i="2" s="1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E38" i="2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N27" i="2" l="1"/>
  <c r="O27" i="2" s="1"/>
  <c r="M27" i="2"/>
  <c r="N57" i="2"/>
  <c r="O57" i="2" s="1"/>
  <c r="M57" i="2"/>
  <c r="N37" i="2"/>
  <c r="O37" i="2" s="1"/>
  <c r="M37" i="2"/>
  <c r="N42" i="2"/>
  <c r="O42" i="2" s="1"/>
  <c r="M42" i="2"/>
  <c r="N32" i="2"/>
  <c r="O32" i="2" s="1"/>
  <c r="M32" i="2"/>
  <c r="N47" i="2"/>
  <c r="O47" i="2" s="1"/>
  <c r="M47" i="2"/>
  <c r="N52" i="2"/>
  <c r="O52" i="2" s="1"/>
  <c r="M52" i="2"/>
  <c r="N22" i="2"/>
  <c r="O22" i="2" s="1"/>
  <c r="M22" i="2"/>
  <c r="J2" i="2"/>
  <c r="K2" i="2"/>
  <c r="L2" i="2" s="1"/>
  <c r="K27" i="2"/>
  <c r="L27" i="2" s="1"/>
  <c r="J27" i="2"/>
  <c r="K42" i="2"/>
  <c r="L42" i="2" s="1"/>
  <c r="J42" i="2"/>
  <c r="K32" i="2"/>
  <c r="L32" i="2" s="1"/>
  <c r="J32" i="2"/>
  <c r="K22" i="2"/>
  <c r="L22" i="2" s="1"/>
  <c r="J22" i="2"/>
  <c r="K57" i="2"/>
  <c r="L57" i="2" s="1"/>
  <c r="J57" i="2"/>
  <c r="K37" i="2"/>
  <c r="L37" i="2" s="1"/>
  <c r="J37" i="2"/>
  <c r="K52" i="2"/>
  <c r="L52" i="2" s="1"/>
  <c r="J52" i="2"/>
  <c r="K47" i="2"/>
  <c r="L47" i="2" s="1"/>
  <c r="J47" i="2"/>
  <c r="M17" i="2"/>
  <c r="N17" i="2"/>
  <c r="O17" i="2" s="1"/>
  <c r="K17" i="2"/>
  <c r="L17" i="2" s="1"/>
  <c r="J17" i="2"/>
  <c r="N12" i="2"/>
  <c r="O12" i="2" s="1"/>
  <c r="M12" i="2"/>
  <c r="K12" i="2"/>
  <c r="L12" i="2" s="1"/>
  <c r="J12" i="2"/>
  <c r="M7" i="2"/>
  <c r="N7" i="2"/>
  <c r="O7" i="2" s="1"/>
  <c r="K7" i="2"/>
  <c r="L7" i="2" s="1"/>
  <c r="J7" i="2"/>
  <c r="M2" i="2"/>
  <c r="N2" i="2"/>
  <c r="O2" i="2" s="1"/>
</calcChain>
</file>

<file path=xl/sharedStrings.xml><?xml version="1.0" encoding="utf-8"?>
<sst xmlns="http://schemas.openxmlformats.org/spreadsheetml/2006/main" count="321" uniqueCount="50">
  <si>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</si>
  <si>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</si>
  <si>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</si>
  <si>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</si>
  <si>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</si>
  <si>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</si>
  <si>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</si>
  <si>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</si>
  <si>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</si>
  <si>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</si>
  <si>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</si>
  <si>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</si>
  <si>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</si>
  <si>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</si>
  <si>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</si>
  <si>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</si>
  <si>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</si>
  <si>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</si>
  <si>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</si>
  <si>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</si>
  <si>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</si>
  <si>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</si>
  <si>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</si>
  <si>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</si>
  <si>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</si>
  <si>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</si>
  <si>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</si>
  <si>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</si>
  <si>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</si>
  <si>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</si>
  <si>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</si>
  <si>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</si>
  <si>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</si>
  <si>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</si>
  <si>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</si>
  <si>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</si>
  <si>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</si>
  <si>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</si>
  <si>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</si>
  <si>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</si>
  <si>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</si>
  <si>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</si>
  <si>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</si>
  <si>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</si>
  <si>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</si>
  <si>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</si>
  <si>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</si>
  <si>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AES</t>
  </si>
  <si>
    <t>MISSING</t>
  </si>
  <si>
    <t>Notes: We had power issues during this run. This is why there is "MISSING" data in the STD's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</si>
</sst>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14" fontId="1" fillId="0" borderId="4" xfId="0" applyNumberFormat="1" applyFont="1" applyBorder="1"/>
    <xf numFmtId="14" fontId="4" fillId="0" borderId="4" xfId="0" applyNumberFormat="1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4" fontId="4" fillId="0" borderId="6" xfId="0" applyNumberFormat="1" applyFont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0" borderId="20" xfId="0" applyNumberFormat="1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4" fillId="0" borderId="20" xfId="0" applyNumberFormat="1" applyFont="1" applyBorder="1"/>
    <xf numFmtId="0" fontId="4" fillId="0" borderId="20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14" fontId="1" fillId="0" borderId="8" xfId="0" applyNumberFormat="1" applyFont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Border="1"/>
    <xf numFmtId="14" fontId="1" fillId="2" borderId="10" xfId="0" applyNumberFormat="1" applyFont="1" applyFill="1" applyBorder="1"/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Border="1" applyAlignment="1">
      <alignment horizontal="center"/>
    </xf>
    <xf numFmtId="0" fontId="1" fillId="0" borderId="21" xfId="0" applyFont="1" applyBorder="1"/>
    <xf numFmtId="0" fontId="4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/>
    <xf numFmtId="0" fontId="0" fillId="0" borderId="1" xfId="0" applyBorder="1"/>
    <xf numFmtId="0" fontId="0" fillId="0" borderId="2" xfId="0" applyBorder="1"/>
    <xf numFmtId="0" fontId="0" fillId="0" borderId="23" xfId="0" applyBorder="1"/>
    <xf numFmtId="0" fontId="0" fillId="0" borderId="24" xfId="0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57874323781504"/>
                  <c:y val="-0.13649564236909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Samples'!$P$8:$P$22</c:f>
              <c:numCache>
                <c:formatCode>General</c:formatCode>
                <c:ptCount val="15"/>
                <c:pt idx="0">
                  <c:v>3958</c:v>
                </c:pt>
                <c:pt idx="3">
                  <c:v>2939.6666666666665</c:v>
                </c:pt>
                <c:pt idx="6">
                  <c:v>2057.6666666666665</c:v>
                </c:pt>
                <c:pt idx="9">
                  <c:v>1301.6666666666667</c:v>
                </c:pt>
                <c:pt idx="12">
                  <c:v>634.66666666666663</c:v>
                </c:pt>
              </c:numCache>
            </c:numRef>
          </c:xVal>
          <c:yVal>
            <c:numRef>
              <c:f>'STDs and Samples'!$O$8:$O$22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Samples'!$P$26:$P$43</c:f>
              <c:numCache>
                <c:formatCode>General</c:formatCode>
                <c:ptCount val="18"/>
                <c:pt idx="0">
                  <c:v>191272</c:v>
                </c:pt>
                <c:pt idx="3">
                  <c:v>137132</c:v>
                </c:pt>
                <c:pt idx="6">
                  <c:v>92310</c:v>
                </c:pt>
                <c:pt idx="9">
                  <c:v>61622.333333333336</c:v>
                </c:pt>
                <c:pt idx="12">
                  <c:v>24209.333333333332</c:v>
                </c:pt>
                <c:pt idx="15">
                  <c:v>314935</c:v>
                </c:pt>
                <c:pt idx="16">
                  <c:v>631430</c:v>
                </c:pt>
                <c:pt idx="17">
                  <c:v>1391388</c:v>
                </c:pt>
              </c:numCache>
            </c:numRef>
          </c:xVal>
          <c:yVal>
            <c:numRef>
              <c:f>'STDs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0.25470825714454565</c:v>
                  </c:pt>
                  <c:pt idx="1">
                    <c:v>0.58847172229071709</c:v>
                  </c:pt>
                  <c:pt idx="2">
                    <c:v>0.41602191092248081</c:v>
                  </c:pt>
                  <c:pt idx="3">
                    <c:v>0.14743266018250784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0.25470825714454565</c:v>
                  </c:pt>
                  <c:pt idx="1">
                    <c:v>0.58847172229071709</c:v>
                  </c:pt>
                  <c:pt idx="2">
                    <c:v>0.41602191092248081</c:v>
                  </c:pt>
                  <c:pt idx="3">
                    <c:v>0.14743266018250784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0.96446574675497421</c:v>
                </c:pt>
                <c:pt idx="1">
                  <c:v>0.64325174800784168</c:v>
                </c:pt>
                <c:pt idx="2">
                  <c:v>0.47222124801267978</c:v>
                </c:pt>
                <c:pt idx="3">
                  <c:v>-0.18552291366025675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7.0181034146193352E-2</c:v>
                  </c:pt>
                  <c:pt idx="1">
                    <c:v>3.1473163465042579E-2</c:v>
                  </c:pt>
                  <c:pt idx="2">
                    <c:v>0.12056619789183262</c:v>
                  </c:pt>
                  <c:pt idx="3">
                    <c:v>3.7510755707510182E-2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7.0181034146193352E-2</c:v>
                  </c:pt>
                  <c:pt idx="1">
                    <c:v>3.1473163465042579E-2</c:v>
                  </c:pt>
                  <c:pt idx="2">
                    <c:v>0.12056619789183262</c:v>
                  </c:pt>
                  <c:pt idx="3">
                    <c:v>3.7510755707510182E-2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6.8623355095384558E-2</c:v>
                  </c:pt>
                  <c:pt idx="1">
                    <c:v>7.3578081320747266E-2</c:v>
                  </c:pt>
                  <c:pt idx="2">
                    <c:v>5.3880223246888584E-2</c:v>
                  </c:pt>
                  <c:pt idx="3">
                    <c:v>2.9557225675542306E-2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6.8623355095384558E-2</c:v>
                  </c:pt>
                  <c:pt idx="1">
                    <c:v>7.3578081320747266E-2</c:v>
                  </c:pt>
                  <c:pt idx="2">
                    <c:v>5.3880223246888584E-2</c:v>
                  </c:pt>
                  <c:pt idx="3">
                    <c:v>2.9557225675542306E-2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1.0036070552115786</c:v>
                </c:pt>
                <c:pt idx="1">
                  <c:v>0.29778715597781297</c:v>
                </c:pt>
                <c:pt idx="2">
                  <c:v>0.29565991095299748</c:v>
                </c:pt>
                <c:pt idx="3">
                  <c:v>1.1034526632690644E-2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6.8623355095384558E-2</c:v>
                  </c:pt>
                  <c:pt idx="1">
                    <c:v>7.3578081320747266E-2</c:v>
                  </c:pt>
                  <c:pt idx="2">
                    <c:v>5.3880223246888584E-2</c:v>
                  </c:pt>
                  <c:pt idx="3">
                    <c:v>2.9557225675542306E-2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6.8623355095384558E-2</c:v>
                  </c:pt>
                  <c:pt idx="1">
                    <c:v>7.3578081320747266E-2</c:v>
                  </c:pt>
                  <c:pt idx="2">
                    <c:v>5.3880223246888584E-2</c:v>
                  </c:pt>
                  <c:pt idx="3">
                    <c:v>2.9557225675542306E-2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7.0181034146193352E-2</c:v>
                  </c:pt>
                  <c:pt idx="1">
                    <c:v>3.1473163465042579E-2</c:v>
                  </c:pt>
                  <c:pt idx="2">
                    <c:v>0.12056619789183262</c:v>
                  </c:pt>
                  <c:pt idx="3">
                    <c:v>3.7510755707510182E-2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7.0181034146193352E-2</c:v>
                  </c:pt>
                  <c:pt idx="1">
                    <c:v>3.1473163465042579E-2</c:v>
                  </c:pt>
                  <c:pt idx="2">
                    <c:v>0.12056619789183262</c:v>
                  </c:pt>
                  <c:pt idx="3">
                    <c:v>3.7510755707510182E-2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1.0048834022264679</c:v>
                </c:pt>
                <c:pt idx="1">
                  <c:v>0.20291202787104398</c:v>
                </c:pt>
                <c:pt idx="2">
                  <c:v>0.1824904756328157</c:v>
                </c:pt>
                <c:pt idx="3">
                  <c:v>0.11186594080894285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1.0593408748617432</c:v>
                </c:pt>
                <c:pt idx="1">
                  <c:v>3.6136017925512798E-2</c:v>
                </c:pt>
                <c:pt idx="2">
                  <c:v>0.6509098300971774</c:v>
                </c:pt>
                <c:pt idx="3">
                  <c:v>-0.38931298703757666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1.8081311235967807</c:v>
                </c:pt>
                <c:pt idx="1">
                  <c:v>0.87639780272761492</c:v>
                </c:pt>
                <c:pt idx="2">
                  <c:v>0.48285747313675698</c:v>
                </c:pt>
                <c:pt idx="3">
                  <c:v>0.34245930149893744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0.98276005396838695</c:v>
                </c:pt>
                <c:pt idx="1">
                  <c:v>2.8419722056570884</c:v>
                </c:pt>
                <c:pt idx="2">
                  <c:v>1.8996026596638451</c:v>
                </c:pt>
                <c:pt idx="3">
                  <c:v>-0.11489837883638399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0.24247878533261136</c:v>
                </c:pt>
                <c:pt idx="1">
                  <c:v>-0.22551512012678721</c:v>
                </c:pt>
                <c:pt idx="2">
                  <c:v>-0.12978909401009209</c:v>
                </c:pt>
                <c:pt idx="3">
                  <c:v>-0.25742379549901884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0.72961789601534877</c:v>
                </c:pt>
                <c:pt idx="1">
                  <c:v>-0.3127321661442205</c:v>
                </c:pt>
                <c:pt idx="2">
                  <c:v>-0.54247462882428887</c:v>
                </c:pt>
                <c:pt idx="3">
                  <c:v>-0.5084387084272417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0.79768973680944311</c:v>
                </c:pt>
                <c:pt idx="1">
                  <c:v>0.18078867961296341</c:v>
                </c:pt>
                <c:pt idx="2">
                  <c:v>0.22546082513408772</c:v>
                </c:pt>
                <c:pt idx="3">
                  <c:v>5.1026733099221122E-2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1.0423229146632198</c:v>
                </c:pt>
                <c:pt idx="1">
                  <c:v>0.35735001667264554</c:v>
                </c:pt>
                <c:pt idx="2">
                  <c:v>0.77003555148684244</c:v>
                </c:pt>
                <c:pt idx="3">
                  <c:v>-7.8735213414521166E-2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1.0210504644150653</c:v>
                </c:pt>
                <c:pt idx="1">
                  <c:v>0.3403320564741219</c:v>
                </c:pt>
                <c:pt idx="2">
                  <c:v>9.9953368669976284E-2</c:v>
                </c:pt>
                <c:pt idx="3">
                  <c:v>-2.7681332818950466E-2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0.93170617337281625</c:v>
                </c:pt>
                <c:pt idx="1">
                  <c:v>0.32331409627559826</c:v>
                </c:pt>
                <c:pt idx="2">
                  <c:v>0.17227969951370148</c:v>
                </c:pt>
                <c:pt idx="3">
                  <c:v>0.13611653409183888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1.2252659867973481</c:v>
                </c:pt>
                <c:pt idx="1">
                  <c:v>0.28715093085373566</c:v>
                </c:pt>
                <c:pt idx="2">
                  <c:v>0.21057010996037961</c:v>
                </c:pt>
                <c:pt idx="3">
                  <c:v>-2.555408779413515E-2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1.072104345010636</c:v>
                </c:pt>
                <c:pt idx="1">
                  <c:v>1.2736322652542986E-2</c:v>
                </c:pt>
                <c:pt idx="2">
                  <c:v>0.18929765971222512</c:v>
                </c:pt>
                <c:pt idx="3">
                  <c:v>8.2935408471452865E-2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0.81045320695833589</c:v>
                </c:pt>
                <c:pt idx="1">
                  <c:v>3.6136017925512798E-2</c:v>
                </c:pt>
                <c:pt idx="2">
                  <c:v>0.29353266592818206</c:v>
                </c:pt>
                <c:pt idx="3">
                  <c:v>0.22120633508445686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1.2210114967477175</c:v>
                </c:pt>
                <c:pt idx="1">
                  <c:v>0.32756858632522934</c:v>
                </c:pt>
                <c:pt idx="2">
                  <c:v>0.29778715597781291</c:v>
                </c:pt>
                <c:pt idx="3">
                  <c:v>9.1444388570714574E-2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0.98488729899320271</c:v>
                </c:pt>
                <c:pt idx="1">
                  <c:v>0.34884103657338361</c:v>
                </c:pt>
                <c:pt idx="2">
                  <c:v>1.4863567677358525E-2</c:v>
                </c:pt>
                <c:pt idx="3">
                  <c:v>0.11697132886849992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0.93596066342244733</c:v>
                </c:pt>
                <c:pt idx="1">
                  <c:v>0.2892781758785512</c:v>
                </c:pt>
                <c:pt idx="2">
                  <c:v>0.11697132886849992</c:v>
                </c:pt>
                <c:pt idx="3">
                  <c:v>4.6772243049590045E-2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1.0593408748617432</c:v>
                </c:pt>
                <c:pt idx="1">
                  <c:v>1.8081311235967807</c:v>
                </c:pt>
                <c:pt idx="2">
                  <c:v>0.98276005396838695</c:v>
                </c:pt>
                <c:pt idx="3">
                  <c:v>0.24247878533261136</c:v>
                </c:pt>
                <c:pt idx="4">
                  <c:v>0.72961789601534877</c:v>
                </c:pt>
                <c:pt idx="5">
                  <c:v>0.79768973680944311</c:v>
                </c:pt>
                <c:pt idx="6">
                  <c:v>1.0423229146632198</c:v>
                </c:pt>
                <c:pt idx="7">
                  <c:v>1.0210504644150653</c:v>
                </c:pt>
                <c:pt idx="8">
                  <c:v>0.93170617337281625</c:v>
                </c:pt>
                <c:pt idx="9">
                  <c:v>1.2252659867973481</c:v>
                </c:pt>
                <c:pt idx="10">
                  <c:v>1.072104345010636</c:v>
                </c:pt>
                <c:pt idx="11">
                  <c:v>0.81045320695833589</c:v>
                </c:pt>
                <c:pt idx="12">
                  <c:v>1.2210114967477175</c:v>
                </c:pt>
                <c:pt idx="13">
                  <c:v>0.98488729899320271</c:v>
                </c:pt>
                <c:pt idx="14">
                  <c:v>0.93596066342244733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3.6136017925512798E-2</c:v>
                </c:pt>
                <c:pt idx="1">
                  <c:v>0.87639780272761492</c:v>
                </c:pt>
                <c:pt idx="2">
                  <c:v>2.8419722056570884</c:v>
                </c:pt>
                <c:pt idx="3">
                  <c:v>-0.22551512012678721</c:v>
                </c:pt>
                <c:pt idx="4">
                  <c:v>-0.3127321661442205</c:v>
                </c:pt>
                <c:pt idx="5">
                  <c:v>0.18078867961296341</c:v>
                </c:pt>
                <c:pt idx="6">
                  <c:v>0.35735001667264554</c:v>
                </c:pt>
                <c:pt idx="7">
                  <c:v>0.3403320564741219</c:v>
                </c:pt>
                <c:pt idx="8">
                  <c:v>0.32331409627559826</c:v>
                </c:pt>
                <c:pt idx="9">
                  <c:v>0.28715093085373566</c:v>
                </c:pt>
                <c:pt idx="10">
                  <c:v>1.2736322652542986E-2</c:v>
                </c:pt>
                <c:pt idx="11">
                  <c:v>3.6136017925512798E-2</c:v>
                </c:pt>
                <c:pt idx="12">
                  <c:v>0.32756858632522934</c:v>
                </c:pt>
                <c:pt idx="13">
                  <c:v>0.34884103657338361</c:v>
                </c:pt>
                <c:pt idx="14">
                  <c:v>0.2892781758785512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0.6509098300971774</c:v>
                </c:pt>
                <c:pt idx="1">
                  <c:v>0.48285747313675698</c:v>
                </c:pt>
                <c:pt idx="2">
                  <c:v>1.8996026596638451</c:v>
                </c:pt>
                <c:pt idx="3">
                  <c:v>-0.12978909401009209</c:v>
                </c:pt>
                <c:pt idx="4">
                  <c:v>-0.54247462882428887</c:v>
                </c:pt>
                <c:pt idx="5">
                  <c:v>0.22546082513408772</c:v>
                </c:pt>
                <c:pt idx="6">
                  <c:v>0.77003555148684244</c:v>
                </c:pt>
                <c:pt idx="7">
                  <c:v>9.9953368669976284E-2</c:v>
                </c:pt>
                <c:pt idx="8">
                  <c:v>0.17227969951370148</c:v>
                </c:pt>
                <c:pt idx="9">
                  <c:v>0.21057010996037961</c:v>
                </c:pt>
                <c:pt idx="10">
                  <c:v>0.18929765971222512</c:v>
                </c:pt>
                <c:pt idx="11">
                  <c:v>0.29353266592818206</c:v>
                </c:pt>
                <c:pt idx="12">
                  <c:v>0.29778715597781291</c:v>
                </c:pt>
                <c:pt idx="13">
                  <c:v>1.4863567677358525E-2</c:v>
                </c:pt>
                <c:pt idx="14">
                  <c:v>0.11697132886849992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1.0593408748617432</c:v>
                </c:pt>
                <c:pt idx="1">
                  <c:v>1.8081311235967807</c:v>
                </c:pt>
                <c:pt idx="2">
                  <c:v>0.98276005396838695</c:v>
                </c:pt>
                <c:pt idx="3">
                  <c:v>0.24247878533261136</c:v>
                </c:pt>
                <c:pt idx="4">
                  <c:v>0.72961789601534877</c:v>
                </c:pt>
                <c:pt idx="5">
                  <c:v>0.79768973680944311</c:v>
                </c:pt>
                <c:pt idx="6">
                  <c:v>1.0423229146632198</c:v>
                </c:pt>
                <c:pt idx="7">
                  <c:v>1.0210504644150653</c:v>
                </c:pt>
                <c:pt idx="8">
                  <c:v>0.93170617337281625</c:v>
                </c:pt>
                <c:pt idx="9">
                  <c:v>1.2252659867973481</c:v>
                </c:pt>
                <c:pt idx="10">
                  <c:v>1.072104345010636</c:v>
                </c:pt>
                <c:pt idx="11">
                  <c:v>0.81045320695833589</c:v>
                </c:pt>
                <c:pt idx="12">
                  <c:v>1.2210114967477175</c:v>
                </c:pt>
                <c:pt idx="13">
                  <c:v>0.98488729899320271</c:v>
                </c:pt>
                <c:pt idx="14">
                  <c:v>0.93596066342244733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3.6136017925512798E-2</c:v>
                </c:pt>
                <c:pt idx="1">
                  <c:v>0.87639780272761492</c:v>
                </c:pt>
                <c:pt idx="2">
                  <c:v>2.8419722056570884</c:v>
                </c:pt>
                <c:pt idx="3">
                  <c:v>-0.22551512012678721</c:v>
                </c:pt>
                <c:pt idx="4">
                  <c:v>-0.3127321661442205</c:v>
                </c:pt>
                <c:pt idx="5">
                  <c:v>0.18078867961296341</c:v>
                </c:pt>
                <c:pt idx="6">
                  <c:v>0.35735001667264554</c:v>
                </c:pt>
                <c:pt idx="7">
                  <c:v>0.3403320564741219</c:v>
                </c:pt>
                <c:pt idx="8">
                  <c:v>0.32331409627559826</c:v>
                </c:pt>
                <c:pt idx="9">
                  <c:v>0.28715093085373566</c:v>
                </c:pt>
                <c:pt idx="10">
                  <c:v>1.2736322652542986E-2</c:v>
                </c:pt>
                <c:pt idx="11">
                  <c:v>3.6136017925512798E-2</c:v>
                </c:pt>
                <c:pt idx="12">
                  <c:v>0.32756858632522934</c:v>
                </c:pt>
                <c:pt idx="13">
                  <c:v>0.34884103657338361</c:v>
                </c:pt>
                <c:pt idx="14">
                  <c:v>0.2892781758785512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0.6509098300971774</c:v>
                </c:pt>
                <c:pt idx="1">
                  <c:v>0.48285747313675698</c:v>
                </c:pt>
                <c:pt idx="2">
                  <c:v>1.8996026596638451</c:v>
                </c:pt>
                <c:pt idx="3">
                  <c:v>-0.12978909401009209</c:v>
                </c:pt>
                <c:pt idx="4">
                  <c:v>-0.54247462882428887</c:v>
                </c:pt>
                <c:pt idx="5">
                  <c:v>0.22546082513408772</c:v>
                </c:pt>
                <c:pt idx="6">
                  <c:v>0.77003555148684244</c:v>
                </c:pt>
                <c:pt idx="7">
                  <c:v>9.9953368669976284E-2</c:v>
                </c:pt>
                <c:pt idx="8">
                  <c:v>0.17227969951370148</c:v>
                </c:pt>
                <c:pt idx="9">
                  <c:v>0.21057010996037961</c:v>
                </c:pt>
                <c:pt idx="10">
                  <c:v>0.18929765971222512</c:v>
                </c:pt>
                <c:pt idx="11">
                  <c:v>0.29353266592818206</c:v>
                </c:pt>
                <c:pt idx="12">
                  <c:v>0.29778715597781291</c:v>
                </c:pt>
                <c:pt idx="13">
                  <c:v>1.4863567677358525E-2</c:v>
                </c:pt>
                <c:pt idx="14">
                  <c:v>0.11697132886849992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1.0593408748617432</c:v>
                </c:pt>
                <c:pt idx="1">
                  <c:v>1.8081311235967807</c:v>
                </c:pt>
                <c:pt idx="2">
                  <c:v>0.98276005396838695</c:v>
                </c:pt>
                <c:pt idx="3">
                  <c:v>0.24247878533261136</c:v>
                </c:pt>
                <c:pt idx="4">
                  <c:v>0.72961789601534877</c:v>
                </c:pt>
                <c:pt idx="5">
                  <c:v>0.79768973680944311</c:v>
                </c:pt>
                <c:pt idx="6">
                  <c:v>1.0423229146632198</c:v>
                </c:pt>
                <c:pt idx="7">
                  <c:v>1.0210504644150653</c:v>
                </c:pt>
                <c:pt idx="8">
                  <c:v>0.93170617337281625</c:v>
                </c:pt>
                <c:pt idx="9">
                  <c:v>1.2252659867973481</c:v>
                </c:pt>
                <c:pt idx="10">
                  <c:v>1.072104345010636</c:v>
                </c:pt>
                <c:pt idx="11">
                  <c:v>0.81045320695833589</c:v>
                </c:pt>
                <c:pt idx="12">
                  <c:v>1.2210114967477175</c:v>
                </c:pt>
                <c:pt idx="13">
                  <c:v>0.98488729899320271</c:v>
                </c:pt>
                <c:pt idx="14">
                  <c:v>0.93596066342244733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3.6136017925512798E-2</c:v>
                </c:pt>
                <c:pt idx="1">
                  <c:v>0.87639780272761492</c:v>
                </c:pt>
                <c:pt idx="2">
                  <c:v>2.8419722056570884</c:v>
                </c:pt>
                <c:pt idx="3">
                  <c:v>-0.22551512012678721</c:v>
                </c:pt>
                <c:pt idx="4">
                  <c:v>-0.3127321661442205</c:v>
                </c:pt>
                <c:pt idx="5">
                  <c:v>0.18078867961296341</c:v>
                </c:pt>
                <c:pt idx="6">
                  <c:v>0.35735001667264554</c:v>
                </c:pt>
                <c:pt idx="7">
                  <c:v>0.3403320564741219</c:v>
                </c:pt>
                <c:pt idx="8">
                  <c:v>0.32331409627559826</c:v>
                </c:pt>
                <c:pt idx="9">
                  <c:v>0.28715093085373566</c:v>
                </c:pt>
                <c:pt idx="10">
                  <c:v>1.2736322652542986E-2</c:v>
                </c:pt>
                <c:pt idx="11">
                  <c:v>3.6136017925512798E-2</c:v>
                </c:pt>
                <c:pt idx="12">
                  <c:v>0.32756858632522934</c:v>
                </c:pt>
                <c:pt idx="13">
                  <c:v>0.34884103657338361</c:v>
                </c:pt>
                <c:pt idx="14">
                  <c:v>0.2892781758785512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0.6509098300971774</c:v>
                </c:pt>
                <c:pt idx="1">
                  <c:v>0.48285747313675698</c:v>
                </c:pt>
                <c:pt idx="2">
                  <c:v>1.8996026596638451</c:v>
                </c:pt>
                <c:pt idx="3">
                  <c:v>-0.12978909401009209</c:v>
                </c:pt>
                <c:pt idx="4">
                  <c:v>-0.54247462882428887</c:v>
                </c:pt>
                <c:pt idx="5">
                  <c:v>0.22546082513408772</c:v>
                </c:pt>
                <c:pt idx="6">
                  <c:v>0.77003555148684244</c:v>
                </c:pt>
                <c:pt idx="7">
                  <c:v>9.9953368669976284E-2</c:v>
                </c:pt>
                <c:pt idx="8">
                  <c:v>0.17227969951370148</c:v>
                </c:pt>
                <c:pt idx="9">
                  <c:v>0.21057010996037961</c:v>
                </c:pt>
                <c:pt idx="10">
                  <c:v>0.18929765971222512</c:v>
                </c:pt>
                <c:pt idx="11">
                  <c:v>0.29353266592818206</c:v>
                </c:pt>
                <c:pt idx="12">
                  <c:v>0.29778715597781291</c:v>
                </c:pt>
                <c:pt idx="13">
                  <c:v>1.4863567677358525E-2</c:v>
                </c:pt>
                <c:pt idx="14">
                  <c:v>0.11697132886849992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430.60512394172491</c:v>
                  </c:pt>
                  <c:pt idx="1">
                    <c:v>295.72617363355522</c:v>
                  </c:pt>
                  <c:pt idx="2">
                    <c:v>1976.0313347422011</c:v>
                  </c:pt>
                  <c:pt idx="3">
                    <c:v>1212.2731241797303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430.60512394172491</c:v>
                  </c:pt>
                  <c:pt idx="1">
                    <c:v>295.72617363355522</c:v>
                  </c:pt>
                  <c:pt idx="2">
                    <c:v>1976.0313347422011</c:v>
                  </c:pt>
                  <c:pt idx="3">
                    <c:v>1212.2731241797303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3665.5933368107421</c:v>
                </c:pt>
                <c:pt idx="1">
                  <c:v>7803.586297256028</c:v>
                </c:pt>
                <c:pt idx="2">
                  <c:v>11255.404837446031</c:v>
                </c:pt>
                <c:pt idx="3">
                  <c:v>14298.252019742678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165.44334065083535</c:v>
                  </c:pt>
                  <c:pt idx="1">
                    <c:v>347.32830422125249</c:v>
                  </c:pt>
                  <c:pt idx="2">
                    <c:v>526.86806328473358</c:v>
                  </c:pt>
                  <c:pt idx="3">
                    <c:v>960.22970737961384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165.44334065083535</c:v>
                  </c:pt>
                  <c:pt idx="1">
                    <c:v>347.32830422125249</c:v>
                  </c:pt>
                  <c:pt idx="2">
                    <c:v>526.86806328473358</c:v>
                  </c:pt>
                  <c:pt idx="3">
                    <c:v>960.22970737961384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2165.7510142105607</c:v>
                </c:pt>
                <c:pt idx="1">
                  <c:v>4300.6360507380514</c:v>
                </c:pt>
                <c:pt idx="2">
                  <c:v>6002.1205445468877</c:v>
                </c:pt>
                <c:pt idx="3">
                  <c:v>9167.0725046048137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218.55048366780363</c:v>
                  </c:pt>
                  <c:pt idx="1">
                    <c:v>252.3975914097006</c:v>
                  </c:pt>
                  <c:pt idx="2">
                    <c:v>528.04816668976662</c:v>
                  </c:pt>
                  <c:pt idx="3">
                    <c:v>1379.3035570638272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218.55048366780363</c:v>
                  </c:pt>
                  <c:pt idx="1">
                    <c:v>252.3975914097006</c:v>
                  </c:pt>
                  <c:pt idx="2">
                    <c:v>528.04816668976662</c:v>
                  </c:pt>
                  <c:pt idx="3">
                    <c:v>1379.3035570638272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1882.5905459726932</c:v>
                </c:pt>
                <c:pt idx="1">
                  <c:v>4189.4144865725466</c:v>
                </c:pt>
                <c:pt idx="2">
                  <c:v>6113.3759075123799</c:v>
                </c:pt>
                <c:pt idx="3">
                  <c:v>9418.072679898647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3626.1119298869435</c:v>
                </c:pt>
                <c:pt idx="1">
                  <c:v>7410.7472535477082</c:v>
                </c:pt>
                <c:pt idx="2">
                  <c:v>9186.5068145972655</c:v>
                </c:pt>
                <c:pt idx="3">
                  <c:v>15517.411473095335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5065.499955414949</c:v>
                </c:pt>
                <c:pt idx="1">
                  <c:v>8835.3078924727743</c:v>
                </c:pt>
                <c:pt idx="2">
                  <c:v>17937.44228998166</c:v>
                </c:pt>
                <c:pt idx="3">
                  <c:v>17569.762779080964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3237.6388094291019</c:v>
                </c:pt>
                <c:pt idx="1">
                  <c:v>7825.1131938215822</c:v>
                </c:pt>
                <c:pt idx="2">
                  <c:v>7201.6428951071684</c:v>
                </c:pt>
                <c:pt idx="3">
                  <c:v>2181.587956273976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3950.7640988913076</c:v>
                </c:pt>
                <c:pt idx="1">
                  <c:v>7868.2066638048473</c:v>
                </c:pt>
                <c:pt idx="2">
                  <c:v>8468.2676197457404</c:v>
                </c:pt>
                <c:pt idx="3">
                  <c:v>10853.720794732451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2447.95189043141</c:v>
                </c:pt>
                <c:pt idx="1">
                  <c:v>7078.5564826332284</c:v>
                </c:pt>
                <c:pt idx="2">
                  <c:v>13483.164567798329</c:v>
                </c:pt>
                <c:pt idx="3">
                  <c:v>15322.921421866513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2785.4622985612154</c:v>
                </c:pt>
                <c:pt idx="1">
                  <c:v>5587.3093418210119</c:v>
                </c:pt>
                <c:pt idx="2">
                  <c:v>7556.7874597518658</c:v>
                </c:pt>
                <c:pt idx="3">
                  <c:v>12104.349869898975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2079.4641473571119</c:v>
                </c:pt>
                <c:pt idx="1">
                  <c:v>4397.5695395873663</c:v>
                </c:pt>
                <c:pt idx="2">
                  <c:v>6655.3661165366939</c:v>
                </c:pt>
                <c:pt idx="3">
                  <c:v>9355.1922167926296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2181.587956273976</c:v>
                </c:pt>
                <c:pt idx="1">
                  <c:v>4068.1488007587677</c:v>
                </c:pt>
                <c:pt idx="2">
                  <c:v>5946.8036650727154</c:v>
                </c:pt>
                <c:pt idx="3">
                  <c:v>9857.8171104235353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1841.8879737102382</c:v>
                </c:pt>
                <c:pt idx="1">
                  <c:v>3600.1235917231224</c:v>
                </c:pt>
                <c:pt idx="2">
                  <c:v>4485.262730422879</c:v>
                </c:pt>
                <c:pt idx="3">
                  <c:v>6254.2037509533457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1940.3526951502627</c:v>
                </c:pt>
                <c:pt idx="1">
                  <c:v>3850.0289797999908</c:v>
                </c:pt>
                <c:pt idx="2">
                  <c:v>5366.3827509502826</c:v>
                </c:pt>
                <c:pt idx="3">
                  <c:v>8263.7995749555757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1569.6827252072467</c:v>
                </c:pt>
                <c:pt idx="1">
                  <c:v>4876.9614320099026</c:v>
                </c:pt>
                <c:pt idx="2">
                  <c:v>6021.9325193913683</c:v>
                </c:pt>
                <c:pt idx="3">
                  <c:v>14372.917977452815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2326.3423385655906</c:v>
                </c:pt>
                <c:pt idx="1">
                  <c:v>4625.2999758467595</c:v>
                </c:pt>
                <c:pt idx="2">
                  <c:v>6860.2750152397311</c:v>
                </c:pt>
                <c:pt idx="3">
                  <c:v>8572.2503626618836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1550.5864032146624</c:v>
                </c:pt>
                <c:pt idx="1">
                  <c:v>3955.5253211503282</c:v>
                </c:pt>
                <c:pt idx="2">
                  <c:v>5479.5352552541681</c:v>
                </c:pt>
                <c:pt idx="3">
                  <c:v>8912.8467481817952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1468.3891911596252</c:v>
                </c:pt>
                <c:pt idx="1">
                  <c:v>3460.8945784728407</c:v>
                </c:pt>
                <c:pt idx="2">
                  <c:v>4584.5944645582185</c:v>
                </c:pt>
                <c:pt idx="3">
                  <c:v>5879.1178943163923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2497.9520717163414</c:v>
                </c:pt>
                <c:pt idx="1">
                  <c:v>4028.3911253829024</c:v>
                </c:pt>
                <c:pt idx="2">
                  <c:v>7620.5422831184133</c:v>
                </c:pt>
                <c:pt idx="3">
                  <c:v>9353.2304168803475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3626.1119298869435</c:v>
                </c:pt>
                <c:pt idx="1">
                  <c:v>5065.499955414949</c:v>
                </c:pt>
                <c:pt idx="2">
                  <c:v>3237.6388094291019</c:v>
                </c:pt>
                <c:pt idx="3">
                  <c:v>3950.7640988913076</c:v>
                </c:pt>
                <c:pt idx="4">
                  <c:v>2447.95189043141</c:v>
                </c:pt>
                <c:pt idx="5">
                  <c:v>2785.4622985612154</c:v>
                </c:pt>
                <c:pt idx="6">
                  <c:v>2079.4641473571119</c:v>
                </c:pt>
                <c:pt idx="7">
                  <c:v>2181.587956273976</c:v>
                </c:pt>
                <c:pt idx="8">
                  <c:v>1841.8879737102382</c:v>
                </c:pt>
                <c:pt idx="9">
                  <c:v>1940.3526951502627</c:v>
                </c:pt>
                <c:pt idx="10">
                  <c:v>1569.6827252072467</c:v>
                </c:pt>
                <c:pt idx="11">
                  <c:v>2326.3423385655906</c:v>
                </c:pt>
                <c:pt idx="12">
                  <c:v>1550.5864032146624</c:v>
                </c:pt>
                <c:pt idx="13">
                  <c:v>1468.3891911596252</c:v>
                </c:pt>
                <c:pt idx="14">
                  <c:v>2497.9520717163414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7410.7472535477082</c:v>
                </c:pt>
                <c:pt idx="1">
                  <c:v>8835.3078924727743</c:v>
                </c:pt>
                <c:pt idx="2">
                  <c:v>7825.1131938215822</c:v>
                </c:pt>
                <c:pt idx="3">
                  <c:v>7868.2066638048473</c:v>
                </c:pt>
                <c:pt idx="4">
                  <c:v>7078.5564826332284</c:v>
                </c:pt>
                <c:pt idx="5">
                  <c:v>5587.3093418210119</c:v>
                </c:pt>
                <c:pt idx="6">
                  <c:v>4397.5695395873663</c:v>
                </c:pt>
                <c:pt idx="7">
                  <c:v>4068.1488007587677</c:v>
                </c:pt>
                <c:pt idx="8">
                  <c:v>3600.1235917231224</c:v>
                </c:pt>
                <c:pt idx="9">
                  <c:v>3850.0289797999908</c:v>
                </c:pt>
                <c:pt idx="10">
                  <c:v>4876.9614320099026</c:v>
                </c:pt>
                <c:pt idx="11">
                  <c:v>4625.2999758467595</c:v>
                </c:pt>
                <c:pt idx="12">
                  <c:v>3955.5253211503282</c:v>
                </c:pt>
                <c:pt idx="13">
                  <c:v>3460.8945784728407</c:v>
                </c:pt>
                <c:pt idx="14">
                  <c:v>4028.3911253829024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9186.5068145972655</c:v>
                </c:pt>
                <c:pt idx="1">
                  <c:v>17937.44228998166</c:v>
                </c:pt>
                <c:pt idx="2">
                  <c:v>7201.6428951071684</c:v>
                </c:pt>
                <c:pt idx="3">
                  <c:v>8468.2676197457404</c:v>
                </c:pt>
                <c:pt idx="4">
                  <c:v>13483.164567798329</c:v>
                </c:pt>
                <c:pt idx="5">
                  <c:v>7556.7874597518658</c:v>
                </c:pt>
                <c:pt idx="6">
                  <c:v>6655.3661165366939</c:v>
                </c:pt>
                <c:pt idx="7">
                  <c:v>5946.8036650727154</c:v>
                </c:pt>
                <c:pt idx="8">
                  <c:v>4485.262730422879</c:v>
                </c:pt>
                <c:pt idx="9">
                  <c:v>5366.3827509502826</c:v>
                </c:pt>
                <c:pt idx="10">
                  <c:v>6021.9325193913683</c:v>
                </c:pt>
                <c:pt idx="11">
                  <c:v>6860.2750152397311</c:v>
                </c:pt>
                <c:pt idx="12">
                  <c:v>5479.5352552541681</c:v>
                </c:pt>
                <c:pt idx="13">
                  <c:v>4584.5944645582185</c:v>
                </c:pt>
                <c:pt idx="14">
                  <c:v>7620.5422831184133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3626.1119298869435</c:v>
                </c:pt>
                <c:pt idx="1">
                  <c:v>5065.499955414949</c:v>
                </c:pt>
                <c:pt idx="2">
                  <c:v>3237.6388094291019</c:v>
                </c:pt>
                <c:pt idx="3">
                  <c:v>3950.7640988913076</c:v>
                </c:pt>
                <c:pt idx="4">
                  <c:v>2447.95189043141</c:v>
                </c:pt>
                <c:pt idx="5">
                  <c:v>2785.4622985612154</c:v>
                </c:pt>
                <c:pt idx="6">
                  <c:v>2079.4641473571119</c:v>
                </c:pt>
                <c:pt idx="7">
                  <c:v>2181.587956273976</c:v>
                </c:pt>
                <c:pt idx="8">
                  <c:v>1841.8879737102382</c:v>
                </c:pt>
                <c:pt idx="9">
                  <c:v>1940.3526951502627</c:v>
                </c:pt>
                <c:pt idx="10">
                  <c:v>1569.6827252072467</c:v>
                </c:pt>
                <c:pt idx="11">
                  <c:v>2326.3423385655906</c:v>
                </c:pt>
                <c:pt idx="12">
                  <c:v>1550.5864032146624</c:v>
                </c:pt>
                <c:pt idx="13">
                  <c:v>1468.3891911596252</c:v>
                </c:pt>
                <c:pt idx="14">
                  <c:v>2497.9520717163414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7410.7472535477082</c:v>
                </c:pt>
                <c:pt idx="1">
                  <c:v>8835.3078924727743</c:v>
                </c:pt>
                <c:pt idx="2">
                  <c:v>7825.1131938215822</c:v>
                </c:pt>
                <c:pt idx="3">
                  <c:v>7868.2066638048473</c:v>
                </c:pt>
                <c:pt idx="4">
                  <c:v>7078.5564826332284</c:v>
                </c:pt>
                <c:pt idx="5">
                  <c:v>5587.3093418210119</c:v>
                </c:pt>
                <c:pt idx="6">
                  <c:v>4397.5695395873663</c:v>
                </c:pt>
                <c:pt idx="7">
                  <c:v>4068.1488007587677</c:v>
                </c:pt>
                <c:pt idx="8">
                  <c:v>3600.1235917231224</c:v>
                </c:pt>
                <c:pt idx="9">
                  <c:v>3850.0289797999908</c:v>
                </c:pt>
                <c:pt idx="10">
                  <c:v>4876.9614320099026</c:v>
                </c:pt>
                <c:pt idx="11">
                  <c:v>4625.2999758467595</c:v>
                </c:pt>
                <c:pt idx="12">
                  <c:v>3955.5253211503282</c:v>
                </c:pt>
                <c:pt idx="13">
                  <c:v>3460.8945784728407</c:v>
                </c:pt>
                <c:pt idx="14">
                  <c:v>4028.3911253829024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9186.5068145972655</c:v>
                </c:pt>
                <c:pt idx="1">
                  <c:v>17937.44228998166</c:v>
                </c:pt>
                <c:pt idx="2">
                  <c:v>7201.6428951071684</c:v>
                </c:pt>
                <c:pt idx="3">
                  <c:v>8468.2676197457404</c:v>
                </c:pt>
                <c:pt idx="4">
                  <c:v>13483.164567798329</c:v>
                </c:pt>
                <c:pt idx="5">
                  <c:v>7556.7874597518658</c:v>
                </c:pt>
                <c:pt idx="6">
                  <c:v>6655.3661165366939</c:v>
                </c:pt>
                <c:pt idx="7">
                  <c:v>5946.8036650727154</c:v>
                </c:pt>
                <c:pt idx="8">
                  <c:v>4485.262730422879</c:v>
                </c:pt>
                <c:pt idx="9">
                  <c:v>5366.3827509502826</c:v>
                </c:pt>
                <c:pt idx="10">
                  <c:v>6021.9325193913683</c:v>
                </c:pt>
                <c:pt idx="11">
                  <c:v>6860.2750152397311</c:v>
                </c:pt>
                <c:pt idx="12">
                  <c:v>5479.5352552541681</c:v>
                </c:pt>
                <c:pt idx="13">
                  <c:v>4584.5944645582185</c:v>
                </c:pt>
                <c:pt idx="14">
                  <c:v>7620.5422831184133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3626.1119298869435</c:v>
                </c:pt>
                <c:pt idx="1">
                  <c:v>5065.499955414949</c:v>
                </c:pt>
                <c:pt idx="2">
                  <c:v>3237.6388094291019</c:v>
                </c:pt>
                <c:pt idx="3">
                  <c:v>3950.7640988913076</c:v>
                </c:pt>
                <c:pt idx="4">
                  <c:v>2447.95189043141</c:v>
                </c:pt>
                <c:pt idx="5">
                  <c:v>2785.4622985612154</c:v>
                </c:pt>
                <c:pt idx="6">
                  <c:v>2079.4641473571119</c:v>
                </c:pt>
                <c:pt idx="7">
                  <c:v>2181.587956273976</c:v>
                </c:pt>
                <c:pt idx="8">
                  <c:v>1841.8879737102382</c:v>
                </c:pt>
                <c:pt idx="9">
                  <c:v>1940.3526951502627</c:v>
                </c:pt>
                <c:pt idx="10">
                  <c:v>1569.6827252072467</c:v>
                </c:pt>
                <c:pt idx="11">
                  <c:v>2326.3423385655906</c:v>
                </c:pt>
                <c:pt idx="12">
                  <c:v>1550.5864032146624</c:v>
                </c:pt>
                <c:pt idx="13">
                  <c:v>1468.3891911596252</c:v>
                </c:pt>
                <c:pt idx="14">
                  <c:v>2497.9520717163414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7410.7472535477082</c:v>
                </c:pt>
                <c:pt idx="1">
                  <c:v>8835.3078924727743</c:v>
                </c:pt>
                <c:pt idx="2">
                  <c:v>7825.1131938215822</c:v>
                </c:pt>
                <c:pt idx="3">
                  <c:v>7868.2066638048473</c:v>
                </c:pt>
                <c:pt idx="4">
                  <c:v>7078.5564826332284</c:v>
                </c:pt>
                <c:pt idx="5">
                  <c:v>5587.3093418210119</c:v>
                </c:pt>
                <c:pt idx="6">
                  <c:v>4397.5695395873663</c:v>
                </c:pt>
                <c:pt idx="7">
                  <c:v>4068.1488007587677</c:v>
                </c:pt>
                <c:pt idx="8">
                  <c:v>3600.1235917231224</c:v>
                </c:pt>
                <c:pt idx="9">
                  <c:v>3850.0289797999908</c:v>
                </c:pt>
                <c:pt idx="10">
                  <c:v>4876.9614320099026</c:v>
                </c:pt>
                <c:pt idx="11">
                  <c:v>4625.2999758467595</c:v>
                </c:pt>
                <c:pt idx="12">
                  <c:v>3955.5253211503282</c:v>
                </c:pt>
                <c:pt idx="13">
                  <c:v>3460.8945784728407</c:v>
                </c:pt>
                <c:pt idx="14">
                  <c:v>4028.3911253829024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9186.5068145972655</c:v>
                </c:pt>
                <c:pt idx="1">
                  <c:v>17937.44228998166</c:v>
                </c:pt>
                <c:pt idx="2">
                  <c:v>7201.6428951071684</c:v>
                </c:pt>
                <c:pt idx="3">
                  <c:v>8468.2676197457404</c:v>
                </c:pt>
                <c:pt idx="4">
                  <c:v>13483.164567798329</c:v>
                </c:pt>
                <c:pt idx="5">
                  <c:v>7556.7874597518658</c:v>
                </c:pt>
                <c:pt idx="6">
                  <c:v>6655.3661165366939</c:v>
                </c:pt>
                <c:pt idx="7">
                  <c:v>5946.8036650727154</c:v>
                </c:pt>
                <c:pt idx="8">
                  <c:v>4485.262730422879</c:v>
                </c:pt>
                <c:pt idx="9">
                  <c:v>5366.3827509502826</c:v>
                </c:pt>
                <c:pt idx="10">
                  <c:v>6021.9325193913683</c:v>
                </c:pt>
                <c:pt idx="11">
                  <c:v>6860.2750152397311</c:v>
                </c:pt>
                <c:pt idx="12">
                  <c:v>5479.5352552541681</c:v>
                </c:pt>
                <c:pt idx="13">
                  <c:v>4584.5944645582185</c:v>
                </c:pt>
                <c:pt idx="14">
                  <c:v>7620.5422831184133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21167</xdr:rowOff>
    </xdr:from>
    <xdr:to>
      <xdr:col>24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abSelected="1" zoomScale="90" zoomScaleNormal="90" workbookViewId="0">
      <selection activeCell="AA31" sqref="AA31"/>
    </sheetView>
  </sheetViews>
  <sheetFormatPr defaultRowHeight="16.5" x14ac:dyDescent="0.3"/>
  <cols>
    <col min="1" max="1" width="13.85546875" style="1" customWidth="1"/>
    <col min="2" max="2" width="12.42578125" style="1" bestFit="1" customWidth="1"/>
    <col min="3" max="3" width="14.5703125" style="13" customWidth="1"/>
    <col min="4" max="4" width="11.42578125" style="13" customWidth="1"/>
    <col min="5" max="5" width="8.7109375" style="13"/>
    <col min="6" max="6" width="9.28515625" style="13" customWidth="1"/>
    <col min="7" max="7" width="10.5703125" style="13" customWidth="1"/>
    <col min="8" max="10" width="8.7109375" style="13"/>
    <col min="12" max="12" width="9.5703125" customWidth="1"/>
    <col min="14" max="14" width="9.42578125" customWidth="1"/>
    <col min="16" max="16" width="13.5703125" customWidth="1"/>
    <col min="17" max="17" width="11.5703125" customWidth="1"/>
  </cols>
  <sheetData>
    <row r="2" spans="1:28" x14ac:dyDescent="0.3">
      <c r="A2" s="2" t="s">
        <v>10</v>
      </c>
      <c r="F2" s="126" t="s">
        <v>49</v>
      </c>
      <c r="K2" s="13"/>
    </row>
    <row r="3" spans="1:28" x14ac:dyDescent="0.3">
      <c r="A3" s="2" t="s">
        <v>11</v>
      </c>
    </row>
    <row r="4" spans="1:28" x14ac:dyDescent="0.3">
      <c r="A4" s="2" t="s">
        <v>47</v>
      </c>
      <c r="B4" s="3"/>
    </row>
    <row r="5" spans="1:28" ht="17.25" thickBot="1" x14ac:dyDescent="0.35">
      <c r="B5" s="3"/>
    </row>
    <row r="6" spans="1:28" ht="50.25" thickBot="1" x14ac:dyDescent="0.3">
      <c r="A6" s="21" t="s">
        <v>4</v>
      </c>
      <c r="B6" s="22" t="s">
        <v>3</v>
      </c>
      <c r="C6" s="22" t="s">
        <v>1</v>
      </c>
      <c r="D6" s="22" t="s">
        <v>5</v>
      </c>
      <c r="E6" s="22" t="s">
        <v>2</v>
      </c>
      <c r="F6" s="22" t="s">
        <v>35</v>
      </c>
      <c r="G6" s="23" t="s">
        <v>6</v>
      </c>
      <c r="H6" s="23" t="s">
        <v>7</v>
      </c>
      <c r="I6" s="23" t="s">
        <v>8</v>
      </c>
      <c r="J6" s="24" t="s">
        <v>9</v>
      </c>
      <c r="L6" s="72" t="s">
        <v>12</v>
      </c>
    </row>
    <row r="7" spans="1:28" ht="17.25" thickBot="1" x14ac:dyDescent="0.35">
      <c r="A7" s="73">
        <v>44417</v>
      </c>
      <c r="B7" s="17">
        <v>44418</v>
      </c>
      <c r="C7" s="18" t="s">
        <v>18</v>
      </c>
      <c r="D7" s="18" t="s">
        <v>19</v>
      </c>
      <c r="E7" s="18">
        <v>10</v>
      </c>
      <c r="F7" s="18">
        <v>1</v>
      </c>
      <c r="G7" s="18">
        <v>1031</v>
      </c>
      <c r="H7" s="18">
        <v>496749</v>
      </c>
      <c r="I7" s="18">
        <f>(G7*$AA$14)+$AA$15</f>
        <v>1.0593408748617432</v>
      </c>
      <c r="J7" s="19">
        <f t="shared" ref="J7:J38" si="0">(H7*$AA$29)+$AA$30</f>
        <v>3626.1119298869435</v>
      </c>
      <c r="L7" s="113" t="s">
        <v>13</v>
      </c>
      <c r="M7" s="114" t="s">
        <v>14</v>
      </c>
      <c r="N7" s="114" t="s">
        <v>0</v>
      </c>
      <c r="O7" s="115" t="s">
        <v>26</v>
      </c>
      <c r="P7" s="116" t="s">
        <v>27</v>
      </c>
    </row>
    <row r="8" spans="1:28" x14ac:dyDescent="0.3">
      <c r="A8" s="77">
        <v>44417</v>
      </c>
      <c r="B8" s="11">
        <v>44418</v>
      </c>
      <c r="C8" s="14" t="s">
        <v>18</v>
      </c>
      <c r="D8" s="14" t="s">
        <v>19</v>
      </c>
      <c r="E8" s="14">
        <v>20</v>
      </c>
      <c r="F8" s="14">
        <v>2</v>
      </c>
      <c r="G8" s="14">
        <v>550</v>
      </c>
      <c r="H8" s="14">
        <v>1011836</v>
      </c>
      <c r="I8" s="14">
        <f t="shared" ref="I8:I66" si="1">(G8*$AA$14)+$AA$15</f>
        <v>3.6136017925512798E-2</v>
      </c>
      <c r="J8" s="15">
        <f t="shared" si="0"/>
        <v>7410.7472535477082</v>
      </c>
      <c r="L8" s="111" t="s">
        <v>28</v>
      </c>
      <c r="M8" s="18">
        <v>7.5</v>
      </c>
      <c r="N8" s="18">
        <v>3505</v>
      </c>
      <c r="O8" s="51">
        <f>AVERAGE(M8:M10)</f>
        <v>7.5</v>
      </c>
      <c r="P8" s="52">
        <f>AVERAGE(N8:N9)</f>
        <v>3958</v>
      </c>
    </row>
    <row r="9" spans="1:28" x14ac:dyDescent="0.3">
      <c r="A9" s="77">
        <v>44417</v>
      </c>
      <c r="B9" s="11">
        <v>44418</v>
      </c>
      <c r="C9" s="14" t="s">
        <v>18</v>
      </c>
      <c r="D9" s="14" t="s">
        <v>19</v>
      </c>
      <c r="E9" s="14">
        <v>35</v>
      </c>
      <c r="F9" s="14">
        <v>3</v>
      </c>
      <c r="G9" s="14">
        <v>839</v>
      </c>
      <c r="H9" s="14">
        <v>1253516</v>
      </c>
      <c r="I9" s="14">
        <f t="shared" si="1"/>
        <v>0.6509098300971774</v>
      </c>
      <c r="J9" s="15">
        <f t="shared" si="0"/>
        <v>9186.5068145972655</v>
      </c>
      <c r="L9" s="112" t="s">
        <v>28</v>
      </c>
      <c r="M9" s="14">
        <v>7.5</v>
      </c>
      <c r="N9" s="14">
        <v>4411</v>
      </c>
      <c r="O9" s="53"/>
      <c r="P9" s="54"/>
      <c r="AB9" s="1"/>
    </row>
    <row r="10" spans="1:28" ht="17.25" thickBot="1" x14ac:dyDescent="0.35">
      <c r="A10" s="77">
        <v>44417</v>
      </c>
      <c r="B10" s="11">
        <v>44418</v>
      </c>
      <c r="C10" s="14" t="s">
        <v>18</v>
      </c>
      <c r="D10" s="14" t="s">
        <v>19</v>
      </c>
      <c r="E10" s="14">
        <v>50</v>
      </c>
      <c r="F10" s="14">
        <v>4</v>
      </c>
      <c r="G10" s="14">
        <v>350</v>
      </c>
      <c r="H10" s="14">
        <v>2115149</v>
      </c>
      <c r="I10" s="14">
        <f t="shared" si="1"/>
        <v>-0.38931298703757666</v>
      </c>
      <c r="J10" s="15">
        <f t="shared" si="0"/>
        <v>15517.411473095335</v>
      </c>
      <c r="L10" s="117" t="s">
        <v>28</v>
      </c>
      <c r="M10" s="61">
        <v>7.5</v>
      </c>
      <c r="N10" s="55" t="s">
        <v>48</v>
      </c>
      <c r="O10" s="55"/>
      <c r="P10" s="56"/>
      <c r="AB10" s="1"/>
    </row>
    <row r="11" spans="1:28" x14ac:dyDescent="0.3">
      <c r="A11" s="78">
        <v>44417</v>
      </c>
      <c r="B11" s="26">
        <v>44418</v>
      </c>
      <c r="C11" s="27" t="s">
        <v>18</v>
      </c>
      <c r="D11" s="27" t="s">
        <v>20</v>
      </c>
      <c r="E11" s="27">
        <v>10</v>
      </c>
      <c r="F11" s="27">
        <v>5</v>
      </c>
      <c r="G11" s="27">
        <v>1383</v>
      </c>
      <c r="H11" s="27">
        <v>692649</v>
      </c>
      <c r="I11" s="27">
        <f t="shared" si="1"/>
        <v>1.8081311235967807</v>
      </c>
      <c r="J11" s="28">
        <f t="shared" si="0"/>
        <v>5065.499955414949</v>
      </c>
      <c r="L11" s="60" t="s">
        <v>29</v>
      </c>
      <c r="M11" s="18">
        <v>5</v>
      </c>
      <c r="N11" s="18">
        <v>2786</v>
      </c>
      <c r="O11" s="51">
        <f>AVERAGE(M11:M13)</f>
        <v>5</v>
      </c>
      <c r="P11" s="52">
        <f>AVERAGE(N11:N13)</f>
        <v>2939.6666666666665</v>
      </c>
      <c r="AB11" s="1"/>
    </row>
    <row r="12" spans="1:28" x14ac:dyDescent="0.3">
      <c r="A12" s="79">
        <v>44417</v>
      </c>
      <c r="B12" s="29">
        <v>44418</v>
      </c>
      <c r="C12" s="30" t="s">
        <v>18</v>
      </c>
      <c r="D12" s="30" t="s">
        <v>20</v>
      </c>
      <c r="E12" s="30">
        <v>20</v>
      </c>
      <c r="F12" s="30">
        <v>6</v>
      </c>
      <c r="G12" s="30">
        <v>945</v>
      </c>
      <c r="H12" s="30">
        <v>1205718</v>
      </c>
      <c r="I12" s="30">
        <f t="shared" si="1"/>
        <v>0.87639780272761492</v>
      </c>
      <c r="J12" s="31">
        <f t="shared" si="0"/>
        <v>8835.3078924727743</v>
      </c>
      <c r="L12" s="8" t="s">
        <v>29</v>
      </c>
      <c r="M12" s="14">
        <v>5</v>
      </c>
      <c r="N12" s="14">
        <v>3097</v>
      </c>
      <c r="O12" s="53"/>
      <c r="P12" s="54"/>
      <c r="AB12" s="1"/>
    </row>
    <row r="13" spans="1:28" ht="17.25" thickBot="1" x14ac:dyDescent="0.35">
      <c r="A13" s="79">
        <v>44417</v>
      </c>
      <c r="B13" s="29">
        <v>44418</v>
      </c>
      <c r="C13" s="30" t="s">
        <v>18</v>
      </c>
      <c r="D13" s="30" t="s">
        <v>20</v>
      </c>
      <c r="E13" s="30">
        <v>35</v>
      </c>
      <c r="F13" s="30">
        <v>7</v>
      </c>
      <c r="G13" s="30">
        <v>760</v>
      </c>
      <c r="H13" s="30">
        <v>2444514</v>
      </c>
      <c r="I13" s="30">
        <f t="shared" si="1"/>
        <v>0.48285747313675698</v>
      </c>
      <c r="J13" s="31">
        <f t="shared" si="0"/>
        <v>17937.44228998166</v>
      </c>
      <c r="L13" s="10" t="s">
        <v>29</v>
      </c>
      <c r="M13" s="61">
        <v>5</v>
      </c>
      <c r="N13" s="61">
        <v>2936</v>
      </c>
      <c r="O13" s="55"/>
      <c r="P13" s="56"/>
      <c r="AB13" s="1"/>
    </row>
    <row r="14" spans="1:28" ht="17.25" thickBot="1" x14ac:dyDescent="0.35">
      <c r="A14" s="79">
        <v>44417</v>
      </c>
      <c r="B14" s="29">
        <v>44418</v>
      </c>
      <c r="C14" s="30" t="s">
        <v>18</v>
      </c>
      <c r="D14" s="30" t="s">
        <v>20</v>
      </c>
      <c r="E14" s="30">
        <v>50</v>
      </c>
      <c r="F14" s="30">
        <v>8</v>
      </c>
      <c r="G14" s="30">
        <v>694</v>
      </c>
      <c r="H14" s="30">
        <v>2394473</v>
      </c>
      <c r="I14" s="30">
        <f t="shared" si="1"/>
        <v>0.34245930149893744</v>
      </c>
      <c r="J14" s="31">
        <f t="shared" si="0"/>
        <v>17569.762779080964</v>
      </c>
      <c r="L14" s="60" t="s">
        <v>30</v>
      </c>
      <c r="M14" s="18">
        <v>3</v>
      </c>
      <c r="N14" s="18">
        <v>2068</v>
      </c>
      <c r="O14" s="51">
        <f>AVERAGE(M14:M16)</f>
        <v>3</v>
      </c>
      <c r="P14" s="52">
        <f>AVERAGE(N14:N16)</f>
        <v>2057.6666666666665</v>
      </c>
      <c r="Z14" s="2" t="s">
        <v>15</v>
      </c>
      <c r="AA14" s="1">
        <f>SLOPE(O8:O22,P8:P22)</f>
        <v>2.1272450248154477E-3</v>
      </c>
      <c r="AB14" s="1"/>
    </row>
    <row r="15" spans="1:28" x14ac:dyDescent="0.3">
      <c r="A15" s="73">
        <v>44417</v>
      </c>
      <c r="B15" s="17">
        <v>44418</v>
      </c>
      <c r="C15" s="18" t="s">
        <v>18</v>
      </c>
      <c r="D15" s="18" t="s">
        <v>21</v>
      </c>
      <c r="E15" s="18">
        <v>10</v>
      </c>
      <c r="F15" s="18">
        <v>9</v>
      </c>
      <c r="G15" s="18">
        <v>995</v>
      </c>
      <c r="H15" s="18">
        <v>443878</v>
      </c>
      <c r="I15" s="18">
        <f t="shared" si="1"/>
        <v>0.98276005396838695</v>
      </c>
      <c r="J15" s="19">
        <f t="shared" si="0"/>
        <v>3237.6388094291019</v>
      </c>
      <c r="L15" s="8" t="s">
        <v>30</v>
      </c>
      <c r="M15" s="14">
        <v>3</v>
      </c>
      <c r="N15" s="14">
        <v>2062</v>
      </c>
      <c r="O15" s="53"/>
      <c r="P15" s="54"/>
      <c r="Z15" s="2" t="s">
        <v>16</v>
      </c>
      <c r="AA15" s="1">
        <f>INTERCEPT(O8:O22,P8:P22)</f>
        <v>-1.1338487457229833</v>
      </c>
      <c r="AB15" s="1"/>
    </row>
    <row r="16" spans="1:28" ht="17.25" thickBot="1" x14ac:dyDescent="0.35">
      <c r="A16" s="77">
        <v>44417</v>
      </c>
      <c r="B16" s="11">
        <v>44418</v>
      </c>
      <c r="C16" s="14" t="s">
        <v>18</v>
      </c>
      <c r="D16" s="14" t="s">
        <v>21</v>
      </c>
      <c r="E16" s="14">
        <v>20</v>
      </c>
      <c r="F16" s="14">
        <v>10</v>
      </c>
      <c r="G16" s="14">
        <v>1869</v>
      </c>
      <c r="H16" s="14">
        <v>1068231</v>
      </c>
      <c r="I16" s="14">
        <f t="shared" si="1"/>
        <v>2.8419722056570884</v>
      </c>
      <c r="J16" s="15">
        <f t="shared" si="0"/>
        <v>7825.1131938215822</v>
      </c>
      <c r="L16" s="10" t="s">
        <v>30</v>
      </c>
      <c r="M16" s="61">
        <v>3</v>
      </c>
      <c r="N16" s="61">
        <v>2043</v>
      </c>
      <c r="O16" s="55"/>
      <c r="P16" s="56"/>
      <c r="Z16" s="2" t="s">
        <v>17</v>
      </c>
      <c r="AA16" s="1">
        <f>RSQ(O8:O22,P8:P22)</f>
        <v>0.99307451338368558</v>
      </c>
      <c r="AB16" s="1"/>
    </row>
    <row r="17" spans="1:28" x14ac:dyDescent="0.3">
      <c r="A17" s="77">
        <v>44417</v>
      </c>
      <c r="B17" s="11">
        <v>44418</v>
      </c>
      <c r="C17" s="14" t="s">
        <v>18</v>
      </c>
      <c r="D17" s="14" t="s">
        <v>21</v>
      </c>
      <c r="E17" s="14">
        <v>35</v>
      </c>
      <c r="F17" s="14">
        <v>11</v>
      </c>
      <c r="G17" s="13">
        <v>1426</v>
      </c>
      <c r="H17" s="14">
        <v>983377</v>
      </c>
      <c r="I17" s="14">
        <f t="shared" si="1"/>
        <v>1.8996026596638451</v>
      </c>
      <c r="J17" s="15">
        <f t="shared" si="0"/>
        <v>7201.6428951071684</v>
      </c>
      <c r="L17" s="60" t="s">
        <v>31</v>
      </c>
      <c r="M17" s="18">
        <v>1.5</v>
      </c>
      <c r="N17" s="18">
        <v>1354</v>
      </c>
      <c r="O17" s="51">
        <f>AVERAGE(M17:M19)</f>
        <v>1.5</v>
      </c>
      <c r="P17" s="52">
        <f>AVERAGE(N17:N19)</f>
        <v>1301.6666666666667</v>
      </c>
      <c r="Z17" s="1"/>
      <c r="AA17" s="1"/>
      <c r="AB17" s="1"/>
    </row>
    <row r="18" spans="1:28" ht="17.25" thickBot="1" x14ac:dyDescent="0.35">
      <c r="A18" s="80">
        <v>44417</v>
      </c>
      <c r="B18" s="32">
        <v>44418</v>
      </c>
      <c r="C18" s="33" t="s">
        <v>18</v>
      </c>
      <c r="D18" s="33" t="s">
        <v>21</v>
      </c>
      <c r="E18" s="33">
        <v>50</v>
      </c>
      <c r="F18" s="33">
        <v>12</v>
      </c>
      <c r="G18" s="33">
        <v>479</v>
      </c>
      <c r="H18" s="33">
        <v>1667386</v>
      </c>
      <c r="I18" s="33">
        <f t="shared" si="1"/>
        <v>-0.11489837883638399</v>
      </c>
      <c r="J18" s="34">
        <f t="shared" si="0"/>
        <v>12227.44362993813</v>
      </c>
      <c r="L18" s="8" t="s">
        <v>31</v>
      </c>
      <c r="M18" s="14">
        <v>1.5</v>
      </c>
      <c r="N18" s="14">
        <v>1292</v>
      </c>
      <c r="O18" s="53"/>
      <c r="P18" s="54"/>
      <c r="Z18" s="1"/>
      <c r="AA18" s="1"/>
      <c r="AB18" s="1"/>
    </row>
    <row r="19" spans="1:28" ht="17.25" thickBot="1" x14ac:dyDescent="0.35">
      <c r="A19" s="73">
        <v>44417</v>
      </c>
      <c r="B19" s="17">
        <v>44418</v>
      </c>
      <c r="C19" s="18" t="s">
        <v>18</v>
      </c>
      <c r="D19" s="18" t="s">
        <v>22</v>
      </c>
      <c r="E19" s="18">
        <v>10</v>
      </c>
      <c r="F19" s="18">
        <v>13</v>
      </c>
      <c r="G19" s="18">
        <v>647</v>
      </c>
      <c r="H19" s="18">
        <v>540934</v>
      </c>
      <c r="I19" s="18">
        <f t="shared" si="1"/>
        <v>0.24247878533261136</v>
      </c>
      <c r="J19" s="19">
        <f t="shared" si="0"/>
        <v>3950.7640988913076</v>
      </c>
      <c r="L19" s="10" t="s">
        <v>31</v>
      </c>
      <c r="M19" s="61">
        <v>1.5</v>
      </c>
      <c r="N19" s="61">
        <v>1259</v>
      </c>
      <c r="O19" s="55"/>
      <c r="P19" s="56"/>
      <c r="Z19" s="1"/>
      <c r="AA19" s="1"/>
      <c r="AB19" s="1"/>
    </row>
    <row r="20" spans="1:28" x14ac:dyDescent="0.3">
      <c r="A20" s="77">
        <v>44417</v>
      </c>
      <c r="B20" s="11">
        <v>44418</v>
      </c>
      <c r="C20" s="14" t="s">
        <v>18</v>
      </c>
      <c r="D20" s="14" t="s">
        <v>22</v>
      </c>
      <c r="E20" s="14">
        <v>20</v>
      </c>
      <c r="F20" s="14">
        <v>14</v>
      </c>
      <c r="G20" s="14">
        <v>427</v>
      </c>
      <c r="H20" s="14">
        <v>1074096</v>
      </c>
      <c r="I20" s="14">
        <f t="shared" si="1"/>
        <v>-0.22551512012678721</v>
      </c>
      <c r="J20" s="15">
        <f t="shared" si="0"/>
        <v>7868.2066638048473</v>
      </c>
      <c r="L20" s="6" t="s">
        <v>32</v>
      </c>
      <c r="M20" s="57">
        <v>0.5</v>
      </c>
      <c r="N20" s="57">
        <v>747</v>
      </c>
      <c r="O20" s="58">
        <f>AVERAGE(M20:M22)</f>
        <v>0.5</v>
      </c>
      <c r="P20" s="59">
        <f>AVERAGE(N20:N22)</f>
        <v>634.66666666666663</v>
      </c>
      <c r="Z20" s="1"/>
      <c r="AA20" s="1"/>
      <c r="AB20" s="1"/>
    </row>
    <row r="21" spans="1:28" x14ac:dyDescent="0.3">
      <c r="A21" s="77">
        <v>44417</v>
      </c>
      <c r="B21" s="11">
        <v>44418</v>
      </c>
      <c r="C21" s="14" t="s">
        <v>18</v>
      </c>
      <c r="D21" s="14" t="s">
        <v>22</v>
      </c>
      <c r="E21" s="14">
        <v>35</v>
      </c>
      <c r="F21" s="14">
        <v>15</v>
      </c>
      <c r="G21" s="14">
        <v>472</v>
      </c>
      <c r="H21" s="14">
        <v>1155764</v>
      </c>
      <c r="I21" s="14">
        <f t="shared" si="1"/>
        <v>-0.12978909401009209</v>
      </c>
      <c r="J21" s="15">
        <f t="shared" si="0"/>
        <v>8468.2676197457404</v>
      </c>
      <c r="L21" s="8" t="s">
        <v>32</v>
      </c>
      <c r="M21" s="14">
        <v>0.5</v>
      </c>
      <c r="N21" s="14">
        <v>659</v>
      </c>
      <c r="O21" s="53"/>
      <c r="P21" s="54"/>
      <c r="Z21" s="1"/>
      <c r="AA21" s="1"/>
      <c r="AB21" s="1"/>
    </row>
    <row r="22" spans="1:28" ht="17.25" thickBot="1" x14ac:dyDescent="0.35">
      <c r="A22" s="77">
        <v>44417</v>
      </c>
      <c r="B22" s="11">
        <v>44418</v>
      </c>
      <c r="C22" s="14" t="s">
        <v>18</v>
      </c>
      <c r="D22" s="14" t="s">
        <v>22</v>
      </c>
      <c r="E22" s="14">
        <v>50</v>
      </c>
      <c r="F22" s="14">
        <v>16</v>
      </c>
      <c r="G22" s="14">
        <v>412</v>
      </c>
      <c r="H22" s="14">
        <v>1480423</v>
      </c>
      <c r="I22" s="14">
        <f t="shared" si="1"/>
        <v>-0.25742379549901884</v>
      </c>
      <c r="J22" s="15">
        <f t="shared" si="0"/>
        <v>10853.720794732451</v>
      </c>
      <c r="L22" s="10" t="s">
        <v>32</v>
      </c>
      <c r="M22" s="61">
        <v>0.5</v>
      </c>
      <c r="N22" s="61">
        <v>498</v>
      </c>
      <c r="O22" s="55"/>
      <c r="P22" s="56"/>
      <c r="Z22" s="1"/>
      <c r="AA22" s="1"/>
      <c r="AB22" s="1"/>
    </row>
    <row r="23" spans="1:28" x14ac:dyDescent="0.3">
      <c r="A23" s="78">
        <v>44417</v>
      </c>
      <c r="B23" s="26">
        <v>44418</v>
      </c>
      <c r="C23" s="27" t="s">
        <v>18</v>
      </c>
      <c r="D23" s="27" t="s">
        <v>23</v>
      </c>
      <c r="E23" s="27">
        <v>10</v>
      </c>
      <c r="F23" s="27">
        <v>17</v>
      </c>
      <c r="G23" s="27">
        <v>876</v>
      </c>
      <c r="H23" s="27">
        <v>336402</v>
      </c>
      <c r="I23" s="27">
        <f t="shared" si="1"/>
        <v>0.72961789601534877</v>
      </c>
      <c r="J23" s="28">
        <f t="shared" si="0"/>
        <v>2447.95189043141</v>
      </c>
      <c r="N23" s="1"/>
      <c r="O23" s="1"/>
      <c r="P23" s="1"/>
      <c r="Z23" s="1"/>
      <c r="AA23" s="1"/>
      <c r="AB23" s="1"/>
    </row>
    <row r="24" spans="1:28" ht="17.25" thickBot="1" x14ac:dyDescent="0.35">
      <c r="A24" s="79">
        <v>44417</v>
      </c>
      <c r="B24" s="29">
        <v>44418</v>
      </c>
      <c r="C24" s="30" t="s">
        <v>18</v>
      </c>
      <c r="D24" s="30" t="s">
        <v>23</v>
      </c>
      <c r="E24" s="30">
        <v>20</v>
      </c>
      <c r="F24" s="30">
        <v>18</v>
      </c>
      <c r="G24" s="30">
        <v>386</v>
      </c>
      <c r="H24" s="30">
        <v>966625</v>
      </c>
      <c r="I24" s="30">
        <f t="shared" si="1"/>
        <v>-0.3127321661442205</v>
      </c>
      <c r="J24" s="31">
        <f t="shared" si="0"/>
        <v>7078.5564826332284</v>
      </c>
      <c r="L24" s="45" t="s">
        <v>33</v>
      </c>
      <c r="N24" s="62"/>
      <c r="O24" s="62"/>
      <c r="P24" s="1"/>
      <c r="Z24" s="1"/>
      <c r="AA24" s="1"/>
      <c r="AB24" s="1"/>
    </row>
    <row r="25" spans="1:28" ht="17.25" thickBot="1" x14ac:dyDescent="0.35">
      <c r="A25" s="79">
        <v>44417</v>
      </c>
      <c r="B25" s="29">
        <v>44418</v>
      </c>
      <c r="C25" s="30" t="s">
        <v>18</v>
      </c>
      <c r="D25" s="30" t="s">
        <v>23</v>
      </c>
      <c r="E25" s="30">
        <v>35</v>
      </c>
      <c r="F25" s="30">
        <v>19</v>
      </c>
      <c r="G25" s="30">
        <v>278</v>
      </c>
      <c r="H25" s="30">
        <v>1838289</v>
      </c>
      <c r="I25" s="30">
        <f t="shared" si="1"/>
        <v>-0.54247462882428887</v>
      </c>
      <c r="J25" s="31">
        <f t="shared" si="0"/>
        <v>13483.164567798329</v>
      </c>
      <c r="L25" s="46" t="s">
        <v>13</v>
      </c>
      <c r="M25" s="47" t="s">
        <v>14</v>
      </c>
      <c r="N25" s="47" t="s">
        <v>0</v>
      </c>
      <c r="O25" s="48" t="s">
        <v>26</v>
      </c>
      <c r="P25" s="49" t="s">
        <v>27</v>
      </c>
      <c r="Z25" s="1"/>
      <c r="AA25" s="1"/>
      <c r="AB25" s="1"/>
    </row>
    <row r="26" spans="1:28" ht="17.25" thickBot="1" x14ac:dyDescent="0.35">
      <c r="A26" s="81">
        <v>44417</v>
      </c>
      <c r="B26" s="36">
        <v>44418</v>
      </c>
      <c r="C26" s="37" t="s">
        <v>18</v>
      </c>
      <c r="D26" s="37" t="s">
        <v>23</v>
      </c>
      <c r="E26" s="37">
        <v>50</v>
      </c>
      <c r="F26" s="37">
        <v>20</v>
      </c>
      <c r="G26" s="38">
        <v>294</v>
      </c>
      <c r="H26" s="38">
        <v>2088679</v>
      </c>
      <c r="I26" s="37">
        <f t="shared" si="1"/>
        <v>-0.5084387084272417</v>
      </c>
      <c r="J26" s="39">
        <f t="shared" si="0"/>
        <v>15322.921421866513</v>
      </c>
      <c r="L26" s="111" t="s">
        <v>28</v>
      </c>
      <c r="M26" s="50">
        <v>1375</v>
      </c>
      <c r="N26" s="50">
        <v>174399</v>
      </c>
      <c r="O26" s="63">
        <f>AVERAGE(M26:M28)</f>
        <v>1375</v>
      </c>
      <c r="P26" s="64">
        <f>AVERAGE(N26:N27)</f>
        <v>191272</v>
      </c>
      <c r="Z26" s="1"/>
      <c r="AA26" s="1"/>
      <c r="AB26" s="1"/>
    </row>
    <row r="27" spans="1:28" x14ac:dyDescent="0.3">
      <c r="A27" s="73">
        <v>44417</v>
      </c>
      <c r="B27" s="25">
        <v>44418</v>
      </c>
      <c r="C27" s="20" t="s">
        <v>24</v>
      </c>
      <c r="D27" s="18" t="s">
        <v>19</v>
      </c>
      <c r="E27" s="18">
        <v>10</v>
      </c>
      <c r="F27" s="18">
        <v>21</v>
      </c>
      <c r="G27" s="20">
        <v>908</v>
      </c>
      <c r="H27" s="20">
        <v>382337</v>
      </c>
      <c r="I27" s="18">
        <f t="shared" si="1"/>
        <v>0.79768973680944311</v>
      </c>
      <c r="J27" s="19">
        <f t="shared" si="0"/>
        <v>2785.4622985612154</v>
      </c>
      <c r="L27" s="112" t="s">
        <v>28</v>
      </c>
      <c r="M27" s="65">
        <v>1375</v>
      </c>
      <c r="N27" s="65">
        <v>208145</v>
      </c>
      <c r="O27" s="66"/>
      <c r="P27" s="67"/>
      <c r="Z27" s="1"/>
      <c r="AA27" s="1"/>
      <c r="AB27" s="1"/>
    </row>
    <row r="28" spans="1:28" ht="17.25" thickBot="1" x14ac:dyDescent="0.35">
      <c r="A28" s="77">
        <v>44417</v>
      </c>
      <c r="B28" s="12">
        <v>44418</v>
      </c>
      <c r="C28" s="16" t="s">
        <v>24</v>
      </c>
      <c r="D28" s="14" t="s">
        <v>19</v>
      </c>
      <c r="E28" s="14">
        <v>20</v>
      </c>
      <c r="F28" s="14">
        <v>22</v>
      </c>
      <c r="G28" s="16">
        <v>618</v>
      </c>
      <c r="H28" s="16">
        <v>763667</v>
      </c>
      <c r="I28" s="14">
        <f t="shared" si="1"/>
        <v>0.18078867961296341</v>
      </c>
      <c r="J28" s="15">
        <f t="shared" si="0"/>
        <v>5587.3093418210119</v>
      </c>
      <c r="L28" s="117" t="s">
        <v>28</v>
      </c>
      <c r="M28" s="68">
        <v>1375</v>
      </c>
      <c r="N28" s="68" t="s">
        <v>48</v>
      </c>
      <c r="O28" s="69"/>
      <c r="P28" s="70"/>
      <c r="Z28" s="1"/>
      <c r="AA28" s="1"/>
      <c r="AB28" s="1"/>
    </row>
    <row r="29" spans="1:28" x14ac:dyDescent="0.3">
      <c r="A29" s="77">
        <v>44417</v>
      </c>
      <c r="B29" s="12">
        <v>44418</v>
      </c>
      <c r="C29" s="16" t="s">
        <v>24</v>
      </c>
      <c r="D29" s="14" t="s">
        <v>19</v>
      </c>
      <c r="E29" s="14">
        <v>35</v>
      </c>
      <c r="F29" s="14">
        <v>23</v>
      </c>
      <c r="G29" s="16">
        <v>639</v>
      </c>
      <c r="H29" s="16">
        <v>1031712</v>
      </c>
      <c r="I29" s="14">
        <f t="shared" si="1"/>
        <v>0.22546082513408772</v>
      </c>
      <c r="J29" s="15">
        <f t="shared" si="0"/>
        <v>7556.7874597518658</v>
      </c>
      <c r="L29" s="60" t="s">
        <v>29</v>
      </c>
      <c r="M29" s="50">
        <v>916.7</v>
      </c>
      <c r="N29" s="50">
        <v>131886</v>
      </c>
      <c r="O29" s="63">
        <f>AVERAGE(M29:M31)</f>
        <v>916.70000000000016</v>
      </c>
      <c r="P29" s="64">
        <f>AVERAGE(N29:N31)</f>
        <v>137132</v>
      </c>
      <c r="Z29" s="2" t="s">
        <v>15</v>
      </c>
      <c r="AA29" s="1">
        <f>SLOPE(O26:O43,P26:P43)</f>
        <v>7.3475652145380569E-3</v>
      </c>
      <c r="AB29" s="1"/>
    </row>
    <row r="30" spans="1:28" ht="17.25" thickBot="1" x14ac:dyDescent="0.35">
      <c r="A30" s="80">
        <v>44417</v>
      </c>
      <c r="B30" s="40">
        <v>44418</v>
      </c>
      <c r="C30" s="41" t="s">
        <v>24</v>
      </c>
      <c r="D30" s="33" t="s">
        <v>19</v>
      </c>
      <c r="E30" s="33">
        <v>50</v>
      </c>
      <c r="F30" s="33">
        <v>24</v>
      </c>
      <c r="G30" s="41">
        <v>557</v>
      </c>
      <c r="H30" s="41">
        <v>1650633</v>
      </c>
      <c r="I30" s="33">
        <f t="shared" si="1"/>
        <v>5.1026733099221122E-2</v>
      </c>
      <c r="J30" s="34">
        <f t="shared" si="0"/>
        <v>12104.349869898975</v>
      </c>
      <c r="L30" s="8" t="s">
        <v>29</v>
      </c>
      <c r="M30" s="65">
        <v>916.7</v>
      </c>
      <c r="N30" s="65">
        <v>144155</v>
      </c>
      <c r="O30" s="66"/>
      <c r="P30" s="67"/>
      <c r="Z30" s="2" t="s">
        <v>16</v>
      </c>
      <c r="AA30" s="1">
        <f>INTERCEPT(O26:O43,P26:P43)</f>
        <v>-23.783742869621619</v>
      </c>
      <c r="AB30" s="1"/>
    </row>
    <row r="31" spans="1:28" ht="17.25" thickBot="1" x14ac:dyDescent="0.35">
      <c r="A31" s="73">
        <v>44417</v>
      </c>
      <c r="B31" s="17">
        <v>44418</v>
      </c>
      <c r="C31" s="20" t="s">
        <v>24</v>
      </c>
      <c r="D31" s="18" t="s">
        <v>20</v>
      </c>
      <c r="E31" s="18">
        <v>10</v>
      </c>
      <c r="F31" s="18">
        <v>25</v>
      </c>
      <c r="G31" s="18">
        <v>1023</v>
      </c>
      <c r="H31" s="18">
        <v>286251</v>
      </c>
      <c r="I31" s="18">
        <f t="shared" si="1"/>
        <v>1.0423229146632198</v>
      </c>
      <c r="J31" s="19">
        <f t="shared" si="0"/>
        <v>2079.4641473571119</v>
      </c>
      <c r="L31" s="10" t="s">
        <v>29</v>
      </c>
      <c r="M31" s="68">
        <v>916.7</v>
      </c>
      <c r="N31" s="68">
        <v>135355</v>
      </c>
      <c r="O31" s="69"/>
      <c r="P31" s="70"/>
      <c r="Z31" s="1" t="s">
        <v>17</v>
      </c>
      <c r="AA31" s="1">
        <f>RSQ(O26:O43,P26:P43)</f>
        <v>0.99660015956865966</v>
      </c>
    </row>
    <row r="32" spans="1:28" x14ac:dyDescent="0.3">
      <c r="A32" s="77">
        <v>44417</v>
      </c>
      <c r="B32" s="11">
        <v>44418</v>
      </c>
      <c r="C32" s="16" t="s">
        <v>24</v>
      </c>
      <c r="D32" s="14" t="s">
        <v>20</v>
      </c>
      <c r="E32" s="14">
        <v>20</v>
      </c>
      <c r="F32" s="14">
        <v>26</v>
      </c>
      <c r="G32" s="14">
        <v>701</v>
      </c>
      <c r="H32" s="14">
        <v>601744</v>
      </c>
      <c r="I32" s="14">
        <f t="shared" si="1"/>
        <v>0.35735001667264554</v>
      </c>
      <c r="J32" s="15">
        <f t="shared" si="0"/>
        <v>4397.5695395873663</v>
      </c>
      <c r="L32" s="60" t="s">
        <v>30</v>
      </c>
      <c r="M32" s="50">
        <v>550</v>
      </c>
      <c r="N32" s="50">
        <v>92020</v>
      </c>
      <c r="O32" s="63">
        <f>AVERAGE(M32:M34)</f>
        <v>550</v>
      </c>
      <c r="P32" s="64">
        <f>AVERAGE(N32:N34)</f>
        <v>92310</v>
      </c>
      <c r="Z32" s="1"/>
      <c r="AA32" s="1"/>
    </row>
    <row r="33" spans="1:27" x14ac:dyDescent="0.3">
      <c r="A33" s="77">
        <v>44417</v>
      </c>
      <c r="B33" s="11">
        <v>44418</v>
      </c>
      <c r="C33" s="16" t="s">
        <v>24</v>
      </c>
      <c r="D33" s="14" t="s">
        <v>20</v>
      </c>
      <c r="E33" s="14">
        <v>35</v>
      </c>
      <c r="F33" s="14">
        <v>27</v>
      </c>
      <c r="G33" s="14">
        <v>895</v>
      </c>
      <c r="H33" s="14">
        <v>909029</v>
      </c>
      <c r="I33" s="14">
        <f t="shared" si="1"/>
        <v>0.77003555148684244</v>
      </c>
      <c r="J33" s="15">
        <f t="shared" si="0"/>
        <v>6655.3661165366939</v>
      </c>
      <c r="L33" s="8" t="s">
        <v>30</v>
      </c>
      <c r="M33" s="65">
        <v>550</v>
      </c>
      <c r="N33" s="65">
        <v>92542</v>
      </c>
      <c r="O33" s="66"/>
      <c r="P33" s="67"/>
      <c r="Z33" s="1"/>
      <c r="AA33" s="1"/>
    </row>
    <row r="34" spans="1:27" ht="17.25" thickBot="1" x14ac:dyDescent="0.35">
      <c r="A34" s="77">
        <v>44417</v>
      </c>
      <c r="B34" s="11">
        <v>44418</v>
      </c>
      <c r="C34" s="16" t="s">
        <v>24</v>
      </c>
      <c r="D34" s="14" t="s">
        <v>20</v>
      </c>
      <c r="E34" s="14">
        <v>50</v>
      </c>
      <c r="F34" s="14">
        <v>28</v>
      </c>
      <c r="G34" s="14">
        <v>496</v>
      </c>
      <c r="H34" s="14">
        <v>1276474</v>
      </c>
      <c r="I34" s="14">
        <f t="shared" si="1"/>
        <v>-7.8735213414521166E-2</v>
      </c>
      <c r="J34" s="15">
        <f t="shared" si="0"/>
        <v>9355.1922167926296</v>
      </c>
      <c r="L34" s="10" t="s">
        <v>30</v>
      </c>
      <c r="M34" s="68">
        <v>550</v>
      </c>
      <c r="N34" s="68">
        <v>92368</v>
      </c>
      <c r="O34" s="69"/>
      <c r="P34" s="70"/>
      <c r="Z34" s="1"/>
      <c r="AA34" s="1"/>
    </row>
    <row r="35" spans="1:27" x14ac:dyDescent="0.3">
      <c r="A35" s="78">
        <v>44417</v>
      </c>
      <c r="B35" s="26">
        <v>44418</v>
      </c>
      <c r="C35" s="42" t="s">
        <v>24</v>
      </c>
      <c r="D35" s="27" t="s">
        <v>21</v>
      </c>
      <c r="E35" s="27">
        <v>10</v>
      </c>
      <c r="F35" s="27">
        <v>29</v>
      </c>
      <c r="G35" s="27">
        <v>1013</v>
      </c>
      <c r="H35" s="27">
        <v>300150</v>
      </c>
      <c r="I35" s="27">
        <f t="shared" si="1"/>
        <v>1.0210504644150653</v>
      </c>
      <c r="J35" s="28">
        <f t="shared" si="0"/>
        <v>2181.587956273976</v>
      </c>
      <c r="L35" s="60" t="s">
        <v>31</v>
      </c>
      <c r="M35" s="50">
        <v>275</v>
      </c>
      <c r="N35" s="50">
        <v>74634</v>
      </c>
      <c r="O35" s="63">
        <f>AVERAGE(M35:M37)</f>
        <v>275</v>
      </c>
      <c r="P35" s="64">
        <f>AVERAGE(N35:N37)</f>
        <v>61622.333333333336</v>
      </c>
      <c r="Z35" s="1"/>
      <c r="AA35" s="1"/>
    </row>
    <row r="36" spans="1:27" x14ac:dyDescent="0.3">
      <c r="A36" s="79">
        <v>44417</v>
      </c>
      <c r="B36" s="29">
        <v>44418</v>
      </c>
      <c r="C36" s="35" t="s">
        <v>24</v>
      </c>
      <c r="D36" s="30" t="s">
        <v>21</v>
      </c>
      <c r="E36" s="30">
        <v>20</v>
      </c>
      <c r="F36" s="30">
        <v>30</v>
      </c>
      <c r="G36" s="30">
        <v>693</v>
      </c>
      <c r="H36" s="30">
        <v>556910</v>
      </c>
      <c r="I36" s="30">
        <f t="shared" si="1"/>
        <v>0.3403320564741219</v>
      </c>
      <c r="J36" s="31">
        <f t="shared" si="0"/>
        <v>4068.1488007587677</v>
      </c>
      <c r="L36" s="8" t="s">
        <v>31</v>
      </c>
      <c r="M36" s="65">
        <v>275</v>
      </c>
      <c r="N36" s="65">
        <v>54293</v>
      </c>
      <c r="O36" s="66"/>
      <c r="P36" s="67"/>
    </row>
    <row r="37" spans="1:27" ht="17.25" thickBot="1" x14ac:dyDescent="0.35">
      <c r="A37" s="79">
        <v>44417</v>
      </c>
      <c r="B37" s="29">
        <v>44418</v>
      </c>
      <c r="C37" s="35" t="s">
        <v>24</v>
      </c>
      <c r="D37" s="30" t="s">
        <v>21</v>
      </c>
      <c r="E37" s="30">
        <v>35</v>
      </c>
      <c r="F37" s="30">
        <v>31</v>
      </c>
      <c r="G37" s="30">
        <v>580</v>
      </c>
      <c r="H37" s="30">
        <v>812594</v>
      </c>
      <c r="I37" s="30">
        <f t="shared" si="1"/>
        <v>9.9953368669976284E-2</v>
      </c>
      <c r="J37" s="31">
        <f t="shared" si="0"/>
        <v>5946.8036650727154</v>
      </c>
      <c r="L37" s="10" t="s">
        <v>31</v>
      </c>
      <c r="M37" s="68">
        <v>275</v>
      </c>
      <c r="N37" s="68">
        <v>55940</v>
      </c>
      <c r="O37" s="69"/>
      <c r="P37" s="70"/>
    </row>
    <row r="38" spans="1:27" ht="17.25" thickBot="1" x14ac:dyDescent="0.35">
      <c r="A38" s="81">
        <v>44417</v>
      </c>
      <c r="B38" s="43">
        <v>44418</v>
      </c>
      <c r="C38" s="38" t="s">
        <v>24</v>
      </c>
      <c r="D38" s="37" t="s">
        <v>21</v>
      </c>
      <c r="E38" s="37">
        <v>50</v>
      </c>
      <c r="F38" s="37">
        <v>32</v>
      </c>
      <c r="G38" s="37">
        <v>520</v>
      </c>
      <c r="H38" s="37">
        <v>1344881</v>
      </c>
      <c r="I38" s="37">
        <f t="shared" si="1"/>
        <v>-2.7681332818950466E-2</v>
      </c>
      <c r="J38" s="39">
        <f t="shared" si="0"/>
        <v>9857.8171104235353</v>
      </c>
      <c r="L38" s="60" t="s">
        <v>32</v>
      </c>
      <c r="M38" s="50">
        <v>91.7</v>
      </c>
      <c r="N38" s="50">
        <v>26947</v>
      </c>
      <c r="O38" s="63">
        <f>AVERAGE(M38:M40)</f>
        <v>91.7</v>
      </c>
      <c r="P38" s="64">
        <f>AVERAGE(N38:N40)</f>
        <v>24209.333333333332</v>
      </c>
    </row>
    <row r="39" spans="1:27" x14ac:dyDescent="0.3">
      <c r="A39" s="73">
        <v>44417</v>
      </c>
      <c r="B39" s="17">
        <v>44418</v>
      </c>
      <c r="C39" s="20" t="s">
        <v>24</v>
      </c>
      <c r="D39" s="18" t="s">
        <v>22</v>
      </c>
      <c r="E39" s="18">
        <v>10</v>
      </c>
      <c r="F39" s="18">
        <v>33</v>
      </c>
      <c r="G39" s="18">
        <v>971</v>
      </c>
      <c r="H39" s="18">
        <v>253917</v>
      </c>
      <c r="I39" s="18">
        <f t="shared" si="1"/>
        <v>0.93170617337281625</v>
      </c>
      <c r="J39" s="19">
        <f t="shared" ref="J39:J66" si="2">(H39*$AA$29)+$AA$30</f>
        <v>1841.8879737102382</v>
      </c>
      <c r="L39" s="8" t="s">
        <v>32</v>
      </c>
      <c r="M39" s="65">
        <v>91.7</v>
      </c>
      <c r="N39" s="65">
        <v>25735</v>
      </c>
      <c r="O39" s="66"/>
      <c r="P39" s="67"/>
    </row>
    <row r="40" spans="1:27" ht="17.25" thickBot="1" x14ac:dyDescent="0.35">
      <c r="A40" s="77">
        <v>44417</v>
      </c>
      <c r="B40" s="11">
        <v>44418</v>
      </c>
      <c r="C40" s="16" t="s">
        <v>24</v>
      </c>
      <c r="D40" s="14" t="s">
        <v>22</v>
      </c>
      <c r="E40" s="14">
        <v>20</v>
      </c>
      <c r="F40" s="14">
        <v>34</v>
      </c>
      <c r="G40" s="14">
        <v>685</v>
      </c>
      <c r="H40" s="14">
        <v>493212</v>
      </c>
      <c r="I40" s="14">
        <f t="shared" si="1"/>
        <v>0.32331409627559826</v>
      </c>
      <c r="J40" s="15">
        <f t="shared" si="2"/>
        <v>3600.1235917231224</v>
      </c>
      <c r="L40" s="10" t="s">
        <v>32</v>
      </c>
      <c r="M40" s="68">
        <v>91.7</v>
      </c>
      <c r="N40" s="68">
        <v>19946</v>
      </c>
      <c r="O40" s="68"/>
      <c r="P40" s="118"/>
    </row>
    <row r="41" spans="1:27" ht="17.25" thickBot="1" x14ac:dyDescent="0.35">
      <c r="A41" s="77">
        <v>44417</v>
      </c>
      <c r="B41" s="11">
        <v>44418</v>
      </c>
      <c r="C41" s="16" t="s">
        <v>24</v>
      </c>
      <c r="D41" s="14" t="s">
        <v>22</v>
      </c>
      <c r="E41" s="14">
        <v>35</v>
      </c>
      <c r="F41" s="14">
        <v>35</v>
      </c>
      <c r="G41" s="14">
        <v>614</v>
      </c>
      <c r="H41" s="14">
        <v>613679</v>
      </c>
      <c r="I41" s="14">
        <f t="shared" si="1"/>
        <v>0.17227969951370148</v>
      </c>
      <c r="J41" s="15">
        <f t="shared" si="2"/>
        <v>4485.262730422879</v>
      </c>
      <c r="L41" s="75" t="s">
        <v>36</v>
      </c>
      <c r="M41" s="76">
        <v>2500</v>
      </c>
      <c r="N41" s="89">
        <v>314935</v>
      </c>
      <c r="O41" s="122">
        <f>AVERAGE(M41:M41)</f>
        <v>2500</v>
      </c>
      <c r="P41" s="123">
        <f>AVERAGE(N41)</f>
        <v>314935</v>
      </c>
    </row>
    <row r="42" spans="1:27" ht="17.25" thickBot="1" x14ac:dyDescent="0.35">
      <c r="A42" s="80">
        <v>44417</v>
      </c>
      <c r="B42" s="32">
        <v>44418</v>
      </c>
      <c r="C42" s="41" t="s">
        <v>24</v>
      </c>
      <c r="D42" s="33" t="s">
        <v>22</v>
      </c>
      <c r="E42" s="33">
        <v>50</v>
      </c>
      <c r="F42" s="33">
        <v>36</v>
      </c>
      <c r="G42" s="33">
        <v>597</v>
      </c>
      <c r="H42" s="33">
        <v>854431</v>
      </c>
      <c r="I42" s="33">
        <f t="shared" si="1"/>
        <v>0.13611653409183888</v>
      </c>
      <c r="J42" s="34">
        <f t="shared" si="2"/>
        <v>6254.2037509533457</v>
      </c>
      <c r="L42" s="75" t="s">
        <v>46</v>
      </c>
      <c r="M42" s="76">
        <v>5000</v>
      </c>
      <c r="N42" s="89">
        <v>631430</v>
      </c>
      <c r="O42" s="122">
        <f>AVERAGE(M42:M42)</f>
        <v>5000</v>
      </c>
      <c r="P42" s="123">
        <f t="shared" ref="P42:P43" si="3">AVERAGE(N42)</f>
        <v>631430</v>
      </c>
    </row>
    <row r="43" spans="1:27" ht="17.25" thickBot="1" x14ac:dyDescent="0.35">
      <c r="A43" s="73">
        <v>44417</v>
      </c>
      <c r="B43" s="17">
        <v>44418</v>
      </c>
      <c r="C43" s="20" t="s">
        <v>24</v>
      </c>
      <c r="D43" s="18" t="s">
        <v>23</v>
      </c>
      <c r="E43" s="18">
        <v>10</v>
      </c>
      <c r="F43" s="18">
        <v>37</v>
      </c>
      <c r="G43" s="18">
        <v>1109</v>
      </c>
      <c r="H43" s="18">
        <v>267318</v>
      </c>
      <c r="I43" s="18">
        <f t="shared" si="1"/>
        <v>1.2252659867973481</v>
      </c>
      <c r="J43" s="19">
        <f t="shared" si="2"/>
        <v>1940.3526951502627</v>
      </c>
      <c r="L43" s="119" t="s">
        <v>34</v>
      </c>
      <c r="M43" s="120">
        <v>10000</v>
      </c>
      <c r="N43" s="121">
        <v>1391388</v>
      </c>
      <c r="O43" s="124">
        <f>M43</f>
        <v>10000</v>
      </c>
      <c r="P43" s="125">
        <f t="shared" si="3"/>
        <v>1391388</v>
      </c>
    </row>
    <row r="44" spans="1:27" x14ac:dyDescent="0.3">
      <c r="A44" s="77">
        <v>44417</v>
      </c>
      <c r="B44" s="11">
        <v>44418</v>
      </c>
      <c r="C44" s="16" t="s">
        <v>24</v>
      </c>
      <c r="D44" s="14" t="s">
        <v>23</v>
      </c>
      <c r="E44" s="14">
        <v>20</v>
      </c>
      <c r="F44" s="14">
        <v>38</v>
      </c>
      <c r="G44" s="14">
        <v>668</v>
      </c>
      <c r="H44" s="14">
        <v>527224</v>
      </c>
      <c r="I44" s="14">
        <f t="shared" si="1"/>
        <v>0.28715093085373566</v>
      </c>
      <c r="J44" s="15">
        <f t="shared" si="2"/>
        <v>3850.0289797999908</v>
      </c>
    </row>
    <row r="45" spans="1:27" x14ac:dyDescent="0.3">
      <c r="A45" s="77">
        <v>44417</v>
      </c>
      <c r="B45" s="11">
        <v>44418</v>
      </c>
      <c r="C45" s="16" t="s">
        <v>24</v>
      </c>
      <c r="D45" s="14" t="s">
        <v>23</v>
      </c>
      <c r="E45" s="14">
        <v>35</v>
      </c>
      <c r="F45" s="14">
        <v>39</v>
      </c>
      <c r="G45" s="14">
        <v>632</v>
      </c>
      <c r="H45" s="14">
        <v>733599</v>
      </c>
      <c r="I45" s="14">
        <f t="shared" si="1"/>
        <v>0.21057010996037961</v>
      </c>
      <c r="J45" s="15">
        <f t="shared" si="2"/>
        <v>5366.3827509502826</v>
      </c>
      <c r="L45" s="1"/>
      <c r="M45" s="74"/>
    </row>
    <row r="46" spans="1:27" ht="17.25" thickBot="1" x14ac:dyDescent="0.35">
      <c r="A46" s="77">
        <v>44417</v>
      </c>
      <c r="B46" s="11">
        <v>44418</v>
      </c>
      <c r="C46" s="16" t="s">
        <v>24</v>
      </c>
      <c r="D46" s="14" t="s">
        <v>23</v>
      </c>
      <c r="E46" s="14">
        <v>50</v>
      </c>
      <c r="F46" s="14">
        <v>40</v>
      </c>
      <c r="G46" s="14">
        <v>521</v>
      </c>
      <c r="H46" s="14">
        <v>1127936</v>
      </c>
      <c r="I46" s="14">
        <f t="shared" si="1"/>
        <v>-2.555408779413515E-2</v>
      </c>
      <c r="J46" s="15">
        <f t="shared" si="2"/>
        <v>8263.7995749555757</v>
      </c>
    </row>
    <row r="47" spans="1:27" x14ac:dyDescent="0.3">
      <c r="A47" s="78">
        <v>44417</v>
      </c>
      <c r="B47" s="26">
        <v>44418</v>
      </c>
      <c r="C47" s="27" t="s">
        <v>25</v>
      </c>
      <c r="D47" s="27" t="s">
        <v>19</v>
      </c>
      <c r="E47" s="27">
        <v>10</v>
      </c>
      <c r="F47" s="27">
        <v>41</v>
      </c>
      <c r="G47" s="27">
        <v>1037</v>
      </c>
      <c r="H47" s="27">
        <v>216870</v>
      </c>
      <c r="I47" s="27">
        <f t="shared" si="1"/>
        <v>1.072104345010636</v>
      </c>
      <c r="J47" s="28">
        <f t="shared" si="2"/>
        <v>1569.6827252072467</v>
      </c>
    </row>
    <row r="48" spans="1:27" x14ac:dyDescent="0.3">
      <c r="A48" s="79">
        <v>44417</v>
      </c>
      <c r="B48" s="29">
        <v>44418</v>
      </c>
      <c r="C48" s="30" t="s">
        <v>25</v>
      </c>
      <c r="D48" s="30" t="s">
        <v>19</v>
      </c>
      <c r="E48" s="30">
        <v>20</v>
      </c>
      <c r="F48" s="30">
        <v>42</v>
      </c>
      <c r="G48" s="30">
        <v>539</v>
      </c>
      <c r="H48" s="30">
        <v>666989</v>
      </c>
      <c r="I48" s="30">
        <f t="shared" si="1"/>
        <v>1.2736322652542986E-2</v>
      </c>
      <c r="J48" s="31">
        <f t="shared" si="2"/>
        <v>4876.9614320099026</v>
      </c>
    </row>
    <row r="49" spans="1:17" x14ac:dyDescent="0.3">
      <c r="A49" s="79">
        <v>44417</v>
      </c>
      <c r="B49" s="29">
        <v>44418</v>
      </c>
      <c r="C49" s="30" t="s">
        <v>25</v>
      </c>
      <c r="D49" s="30" t="s">
        <v>19</v>
      </c>
      <c r="E49" s="30">
        <v>35</v>
      </c>
      <c r="F49" s="30">
        <v>43</v>
      </c>
      <c r="G49" s="30">
        <v>622</v>
      </c>
      <c r="H49" s="30">
        <v>822819</v>
      </c>
      <c r="I49" s="30">
        <f t="shared" si="1"/>
        <v>0.18929765971222512</v>
      </c>
      <c r="J49" s="31">
        <f t="shared" si="2"/>
        <v>6021.9325193913683</v>
      </c>
    </row>
    <row r="50" spans="1:17" ht="17.25" thickBot="1" x14ac:dyDescent="0.35">
      <c r="A50" s="79">
        <v>44417</v>
      </c>
      <c r="B50" s="29">
        <v>44418</v>
      </c>
      <c r="C50" s="30" t="s">
        <v>25</v>
      </c>
      <c r="D50" s="30" t="s">
        <v>19</v>
      </c>
      <c r="E50" s="30">
        <v>50</v>
      </c>
      <c r="F50" s="30">
        <v>44</v>
      </c>
      <c r="G50" s="30">
        <v>572</v>
      </c>
      <c r="H50" s="30">
        <v>1959384</v>
      </c>
      <c r="I50" s="30">
        <f t="shared" si="1"/>
        <v>8.2935408471452865E-2</v>
      </c>
      <c r="J50" s="31">
        <f t="shared" si="2"/>
        <v>14372.917977452815</v>
      </c>
    </row>
    <row r="51" spans="1:17" x14ac:dyDescent="0.3">
      <c r="A51" s="73">
        <v>44417</v>
      </c>
      <c r="B51" s="17">
        <v>44418</v>
      </c>
      <c r="C51" s="18" t="s">
        <v>25</v>
      </c>
      <c r="D51" s="18" t="s">
        <v>20</v>
      </c>
      <c r="E51" s="18">
        <v>10</v>
      </c>
      <c r="F51" s="18">
        <v>45</v>
      </c>
      <c r="G51" s="18">
        <v>914</v>
      </c>
      <c r="H51" s="18">
        <v>319851</v>
      </c>
      <c r="I51" s="18">
        <f t="shared" si="1"/>
        <v>0.81045320695833589</v>
      </c>
      <c r="J51" s="19">
        <f t="shared" si="2"/>
        <v>2326.3423385655906</v>
      </c>
    </row>
    <row r="52" spans="1:17" x14ac:dyDescent="0.3">
      <c r="A52" s="77">
        <v>44417</v>
      </c>
      <c r="B52" s="11">
        <v>44418</v>
      </c>
      <c r="C52" s="14" t="s">
        <v>25</v>
      </c>
      <c r="D52" s="14" t="s">
        <v>20</v>
      </c>
      <c r="E52" s="14">
        <v>20</v>
      </c>
      <c r="F52" s="14">
        <v>46</v>
      </c>
      <c r="G52" s="14">
        <v>550</v>
      </c>
      <c r="H52" s="14">
        <v>632738</v>
      </c>
      <c r="I52" s="14">
        <f t="shared" si="1"/>
        <v>3.6136017925512798E-2</v>
      </c>
      <c r="J52" s="15">
        <f t="shared" si="2"/>
        <v>4625.2999758467595</v>
      </c>
    </row>
    <row r="53" spans="1:17" x14ac:dyDescent="0.3">
      <c r="A53" s="77">
        <v>44417</v>
      </c>
      <c r="B53" s="11">
        <v>44418</v>
      </c>
      <c r="C53" s="14" t="s">
        <v>25</v>
      </c>
      <c r="D53" s="14" t="s">
        <v>20</v>
      </c>
      <c r="E53" s="14">
        <v>35</v>
      </c>
      <c r="F53" s="14">
        <v>47</v>
      </c>
      <c r="G53" s="14">
        <v>671</v>
      </c>
      <c r="H53" s="14">
        <v>936917</v>
      </c>
      <c r="I53" s="14">
        <f t="shared" si="1"/>
        <v>0.29353266592818206</v>
      </c>
      <c r="J53" s="15">
        <f t="shared" si="2"/>
        <v>6860.2750152397311</v>
      </c>
    </row>
    <row r="54" spans="1:17" ht="17.25" thickBot="1" x14ac:dyDescent="0.35">
      <c r="A54" s="80">
        <v>44417</v>
      </c>
      <c r="B54" s="32">
        <v>44418</v>
      </c>
      <c r="C54" s="33" t="s">
        <v>25</v>
      </c>
      <c r="D54" s="33" t="s">
        <v>20</v>
      </c>
      <c r="E54" s="33">
        <v>50</v>
      </c>
      <c r="F54" s="33">
        <v>48</v>
      </c>
      <c r="G54" s="33">
        <v>637</v>
      </c>
      <c r="H54" s="33">
        <v>1169916</v>
      </c>
      <c r="I54" s="33">
        <f t="shared" si="1"/>
        <v>0.22120633508445686</v>
      </c>
      <c r="J54" s="34">
        <f t="shared" si="2"/>
        <v>8572.2503626618836</v>
      </c>
    </row>
    <row r="55" spans="1:17" x14ac:dyDescent="0.3">
      <c r="A55" s="73">
        <v>44417</v>
      </c>
      <c r="B55" s="17">
        <v>44418</v>
      </c>
      <c r="C55" s="18" t="s">
        <v>25</v>
      </c>
      <c r="D55" s="18" t="s">
        <v>21</v>
      </c>
      <c r="E55" s="18">
        <v>10</v>
      </c>
      <c r="F55" s="18">
        <v>49</v>
      </c>
      <c r="G55" s="18">
        <v>1107</v>
      </c>
      <c r="H55" s="18">
        <v>214271</v>
      </c>
      <c r="I55" s="18">
        <f t="shared" si="1"/>
        <v>1.2210114967477175</v>
      </c>
      <c r="J55" s="19">
        <f t="shared" si="2"/>
        <v>1550.5864032146624</v>
      </c>
    </row>
    <row r="56" spans="1:17" x14ac:dyDescent="0.3">
      <c r="A56" s="77">
        <v>44417</v>
      </c>
      <c r="B56" s="11">
        <v>44418</v>
      </c>
      <c r="C56" s="14" t="s">
        <v>25</v>
      </c>
      <c r="D56" s="14" t="s">
        <v>21</v>
      </c>
      <c r="E56" s="14">
        <v>20</v>
      </c>
      <c r="F56" s="14">
        <v>50</v>
      </c>
      <c r="G56" s="14">
        <v>687</v>
      </c>
      <c r="H56" s="14">
        <v>541582</v>
      </c>
      <c r="I56" s="14">
        <f t="shared" si="1"/>
        <v>0.32756858632522934</v>
      </c>
      <c r="J56" s="15">
        <f t="shared" si="2"/>
        <v>3955.5253211503282</v>
      </c>
      <c r="N56" s="71"/>
      <c r="O56" s="71"/>
      <c r="P56" s="71"/>
      <c r="Q56" s="71"/>
    </row>
    <row r="57" spans="1:17" x14ac:dyDescent="0.3">
      <c r="A57" s="77">
        <v>44417</v>
      </c>
      <c r="B57" s="11">
        <v>44418</v>
      </c>
      <c r="C57" s="14" t="s">
        <v>25</v>
      </c>
      <c r="D57" s="14" t="s">
        <v>21</v>
      </c>
      <c r="E57" s="14">
        <v>35</v>
      </c>
      <c r="F57" s="14">
        <v>51</v>
      </c>
      <c r="G57" s="14">
        <v>673</v>
      </c>
      <c r="H57" s="14">
        <v>748999</v>
      </c>
      <c r="I57" s="14">
        <f t="shared" si="1"/>
        <v>0.29778715597781291</v>
      </c>
      <c r="J57" s="15">
        <f t="shared" si="2"/>
        <v>5479.5352552541681</v>
      </c>
      <c r="N57" s="1"/>
      <c r="O57" s="1"/>
      <c r="P57" s="1"/>
    </row>
    <row r="58" spans="1:17" ht="17.25" thickBot="1" x14ac:dyDescent="0.35">
      <c r="A58" s="80">
        <v>44417</v>
      </c>
      <c r="B58" s="32">
        <v>44418</v>
      </c>
      <c r="C58" s="33" t="s">
        <v>25</v>
      </c>
      <c r="D58" s="33" t="s">
        <v>21</v>
      </c>
      <c r="E58" s="33">
        <v>50</v>
      </c>
      <c r="F58" s="33">
        <v>52</v>
      </c>
      <c r="G58" s="33">
        <v>576</v>
      </c>
      <c r="H58" s="33">
        <v>1216271</v>
      </c>
      <c r="I58" s="33">
        <f t="shared" si="1"/>
        <v>9.1444388570714574E-2</v>
      </c>
      <c r="J58" s="34">
        <f t="shared" si="2"/>
        <v>8912.8467481817952</v>
      </c>
      <c r="N58" s="1"/>
      <c r="O58" s="1"/>
      <c r="P58" s="1"/>
    </row>
    <row r="59" spans="1:17" x14ac:dyDescent="0.3">
      <c r="A59" s="78">
        <v>44417</v>
      </c>
      <c r="B59" s="26">
        <v>44418</v>
      </c>
      <c r="C59" s="27" t="s">
        <v>25</v>
      </c>
      <c r="D59" s="27" t="s">
        <v>22</v>
      </c>
      <c r="E59" s="27">
        <v>10</v>
      </c>
      <c r="F59" s="27">
        <v>53</v>
      </c>
      <c r="G59" s="27">
        <v>996</v>
      </c>
      <c r="H59" s="27">
        <v>203084</v>
      </c>
      <c r="I59" s="27">
        <f t="shared" si="1"/>
        <v>0.98488729899320271</v>
      </c>
      <c r="J59" s="28">
        <f t="shared" si="2"/>
        <v>1468.3891911596252</v>
      </c>
      <c r="N59" s="1"/>
      <c r="O59" s="1"/>
      <c r="P59" s="1"/>
    </row>
    <row r="60" spans="1:17" x14ac:dyDescent="0.3">
      <c r="A60" s="79">
        <v>44417</v>
      </c>
      <c r="B60" s="29">
        <v>44418</v>
      </c>
      <c r="C60" s="30" t="s">
        <v>25</v>
      </c>
      <c r="D60" s="30" t="s">
        <v>22</v>
      </c>
      <c r="E60" s="30">
        <v>20</v>
      </c>
      <c r="F60" s="30">
        <v>54</v>
      </c>
      <c r="G60" s="30">
        <v>697</v>
      </c>
      <c r="H60" s="30">
        <v>474263</v>
      </c>
      <c r="I60" s="30">
        <f t="shared" si="1"/>
        <v>0.34884103657338361</v>
      </c>
      <c r="J60" s="31">
        <f t="shared" si="2"/>
        <v>3460.8945784728407</v>
      </c>
      <c r="N60" s="1"/>
      <c r="O60" s="1"/>
      <c r="P60" s="1"/>
    </row>
    <row r="61" spans="1:17" x14ac:dyDescent="0.3">
      <c r="A61" s="79">
        <v>44417</v>
      </c>
      <c r="B61" s="29">
        <v>44418</v>
      </c>
      <c r="C61" s="30" t="s">
        <v>25</v>
      </c>
      <c r="D61" s="30" t="s">
        <v>22</v>
      </c>
      <c r="E61" s="30">
        <v>35</v>
      </c>
      <c r="F61" s="30">
        <v>55</v>
      </c>
      <c r="G61" s="30">
        <v>540</v>
      </c>
      <c r="H61" s="30">
        <v>627198</v>
      </c>
      <c r="I61" s="30">
        <f t="shared" si="1"/>
        <v>1.4863567677358525E-2</v>
      </c>
      <c r="J61" s="31">
        <f t="shared" si="2"/>
        <v>4584.5944645582185</v>
      </c>
      <c r="N61" s="1"/>
      <c r="O61" s="1"/>
      <c r="P61" s="1"/>
    </row>
    <row r="62" spans="1:17" ht="17.25" thickBot="1" x14ac:dyDescent="0.35">
      <c r="A62" s="81">
        <v>44417</v>
      </c>
      <c r="B62" s="43">
        <v>44418</v>
      </c>
      <c r="C62" s="37" t="s">
        <v>25</v>
      </c>
      <c r="D62" s="37" t="s">
        <v>22</v>
      </c>
      <c r="E62" s="37">
        <v>50</v>
      </c>
      <c r="F62" s="37">
        <v>56</v>
      </c>
      <c r="G62" s="37">
        <v>588</v>
      </c>
      <c r="H62" s="37">
        <v>803382</v>
      </c>
      <c r="I62" s="37">
        <f t="shared" si="1"/>
        <v>0.11697132886849992</v>
      </c>
      <c r="J62" s="39">
        <f t="shared" si="2"/>
        <v>5879.1178943163923</v>
      </c>
      <c r="N62" s="1"/>
      <c r="O62" s="1"/>
      <c r="P62" s="1"/>
    </row>
    <row r="63" spans="1:17" x14ac:dyDescent="0.3">
      <c r="A63" s="73">
        <v>44417</v>
      </c>
      <c r="B63" s="17">
        <v>44418</v>
      </c>
      <c r="C63" s="18" t="s">
        <v>25</v>
      </c>
      <c r="D63" s="18" t="s">
        <v>23</v>
      </c>
      <c r="E63" s="18">
        <v>10</v>
      </c>
      <c r="F63" s="18">
        <v>57</v>
      </c>
      <c r="G63" s="18">
        <v>973</v>
      </c>
      <c r="H63" s="18">
        <v>343207</v>
      </c>
      <c r="I63" s="18">
        <f t="shared" si="1"/>
        <v>0.93596066342244733</v>
      </c>
      <c r="J63" s="19">
        <f t="shared" si="2"/>
        <v>2497.9520717163414</v>
      </c>
      <c r="N63" s="1"/>
      <c r="O63" s="1"/>
      <c r="P63" s="1"/>
    </row>
    <row r="64" spans="1:17" x14ac:dyDescent="0.3">
      <c r="A64" s="77">
        <v>44417</v>
      </c>
      <c r="B64" s="11">
        <v>44418</v>
      </c>
      <c r="C64" s="14" t="s">
        <v>25</v>
      </c>
      <c r="D64" s="14" t="s">
        <v>23</v>
      </c>
      <c r="E64" s="14">
        <v>20</v>
      </c>
      <c r="F64" s="14">
        <v>58</v>
      </c>
      <c r="G64" s="14">
        <v>669</v>
      </c>
      <c r="H64" s="14">
        <v>551499</v>
      </c>
      <c r="I64" s="14">
        <f t="shared" si="1"/>
        <v>0.2892781758785512</v>
      </c>
      <c r="J64" s="15">
        <f t="shared" si="2"/>
        <v>4028.3911253829024</v>
      </c>
      <c r="N64" s="1"/>
      <c r="O64" s="1"/>
      <c r="P64" s="1"/>
    </row>
    <row r="65" spans="1:16" x14ac:dyDescent="0.3">
      <c r="A65" s="77">
        <v>44417</v>
      </c>
      <c r="B65" s="11">
        <v>44418</v>
      </c>
      <c r="C65" s="14" t="s">
        <v>25</v>
      </c>
      <c r="D65" s="14" t="s">
        <v>23</v>
      </c>
      <c r="E65" s="14">
        <v>35</v>
      </c>
      <c r="F65" s="14">
        <v>59</v>
      </c>
      <c r="G65" s="14">
        <v>588</v>
      </c>
      <c r="H65" s="14">
        <v>1040389</v>
      </c>
      <c r="I65" s="14">
        <f t="shared" si="1"/>
        <v>0.11697132886849992</v>
      </c>
      <c r="J65" s="15">
        <f t="shared" si="2"/>
        <v>7620.5422831184133</v>
      </c>
      <c r="N65" s="1"/>
      <c r="O65" s="1"/>
      <c r="P65" s="1"/>
    </row>
    <row r="66" spans="1:16" x14ac:dyDescent="0.3">
      <c r="A66" s="77">
        <v>44417</v>
      </c>
      <c r="B66" s="11">
        <v>44418</v>
      </c>
      <c r="C66" s="14" t="s">
        <v>25</v>
      </c>
      <c r="D66" s="14" t="s">
        <v>23</v>
      </c>
      <c r="E66" s="14">
        <v>50</v>
      </c>
      <c r="F66" s="14">
        <v>60</v>
      </c>
      <c r="G66" s="14">
        <v>555</v>
      </c>
      <c r="H66" s="14">
        <v>1276207</v>
      </c>
      <c r="I66" s="14">
        <f t="shared" si="1"/>
        <v>4.6772243049590045E-2</v>
      </c>
      <c r="J66" s="15">
        <f t="shared" si="2"/>
        <v>9353.2304168803475</v>
      </c>
      <c r="N66" s="1"/>
      <c r="O66" s="1"/>
      <c r="P66" s="1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O62"/>
  <sheetViews>
    <sheetView zoomScale="70" zoomScaleNormal="70" workbookViewId="0">
      <selection activeCell="E1" sqref="E1"/>
    </sheetView>
  </sheetViews>
  <sheetFormatPr defaultRowHeight="15" x14ac:dyDescent="0.25"/>
  <cols>
    <col min="1" max="3" width="11.140625" customWidth="1"/>
    <col min="9" max="9" width="1.85546875" customWidth="1"/>
  </cols>
  <sheetData>
    <row r="1" spans="1:15" ht="33.75" thickBot="1" x14ac:dyDescent="0.35">
      <c r="A1" s="85" t="s">
        <v>1</v>
      </c>
      <c r="B1" s="86" t="s">
        <v>5</v>
      </c>
      <c r="C1" s="86" t="s">
        <v>2</v>
      </c>
      <c r="D1" s="87" t="s">
        <v>8</v>
      </c>
      <c r="E1" s="88" t="s">
        <v>9</v>
      </c>
      <c r="F1" s="88" t="s">
        <v>43</v>
      </c>
      <c r="G1" s="88" t="s">
        <v>44</v>
      </c>
      <c r="H1" s="88" t="s">
        <v>45</v>
      </c>
      <c r="I1" s="89"/>
      <c r="J1" s="90" t="s">
        <v>37</v>
      </c>
      <c r="K1" s="90" t="s">
        <v>38</v>
      </c>
      <c r="L1" s="90" t="s">
        <v>39</v>
      </c>
      <c r="M1" s="90" t="s">
        <v>40</v>
      </c>
      <c r="N1" s="90" t="s">
        <v>41</v>
      </c>
      <c r="O1" s="91" t="s">
        <v>42</v>
      </c>
    </row>
    <row r="2" spans="1:15" ht="16.5" x14ac:dyDescent="0.3">
      <c r="A2" s="84" t="s">
        <v>18</v>
      </c>
      <c r="B2" s="57" t="s">
        <v>19</v>
      </c>
      <c r="C2" s="57">
        <v>10</v>
      </c>
      <c r="D2" s="4">
        <f>('STDs and Samples'!I7)</f>
        <v>1.0593408748617432</v>
      </c>
      <c r="E2" s="4">
        <f>('STDs and Samples'!J7)</f>
        <v>3626.1119298869435</v>
      </c>
      <c r="F2" s="4"/>
      <c r="G2" s="4"/>
      <c r="H2" s="4"/>
      <c r="I2" s="4"/>
      <c r="J2" s="4">
        <f>AVERAGE(D2:D6)</f>
        <v>0.96446574675497421</v>
      </c>
      <c r="K2" s="4">
        <f>STDEV(D2:D6)</f>
        <v>0.56954497740570054</v>
      </c>
      <c r="L2" s="4">
        <f>K2/SQRT(5)</f>
        <v>0.25470825714454565</v>
      </c>
      <c r="M2" s="4">
        <f>AVERAGE(E2:E6)</f>
        <v>3665.5933368107421</v>
      </c>
      <c r="N2" s="4">
        <f>STDEV(E2:E6)</f>
        <v>962.86232859341919</v>
      </c>
      <c r="O2" s="7">
        <f>N2/SQRT(5)</f>
        <v>430.60512394172491</v>
      </c>
    </row>
    <row r="3" spans="1:15" ht="16.5" x14ac:dyDescent="0.3">
      <c r="A3" s="82" t="s">
        <v>18</v>
      </c>
      <c r="B3" s="14" t="s">
        <v>20</v>
      </c>
      <c r="C3" s="14">
        <v>10</v>
      </c>
      <c r="D3" s="5">
        <f>('STDs and Samples'!I11)</f>
        <v>1.8081311235967807</v>
      </c>
      <c r="E3" s="5">
        <f>('STDs and Samples'!J11)</f>
        <v>5065.499955414949</v>
      </c>
      <c r="F3" s="5"/>
      <c r="G3" s="5"/>
      <c r="H3" s="5"/>
      <c r="I3" s="5"/>
      <c r="J3" s="5"/>
      <c r="K3" s="5"/>
      <c r="L3" s="5"/>
      <c r="M3" s="5"/>
      <c r="N3" s="5"/>
      <c r="O3" s="9"/>
    </row>
    <row r="4" spans="1:15" ht="16.5" x14ac:dyDescent="0.3">
      <c r="A4" s="82" t="s">
        <v>18</v>
      </c>
      <c r="B4" s="14" t="s">
        <v>21</v>
      </c>
      <c r="C4" s="14">
        <v>10</v>
      </c>
      <c r="D4" s="5">
        <f>('STDs and Samples'!I15)</f>
        <v>0.98276005396838695</v>
      </c>
      <c r="E4" s="5">
        <f>('STDs and Samples'!J15)</f>
        <v>3237.6388094291019</v>
      </c>
      <c r="F4" s="5"/>
      <c r="G4" s="5"/>
      <c r="H4" s="5"/>
      <c r="I4" s="5"/>
      <c r="J4" s="5"/>
      <c r="K4" s="5"/>
      <c r="L4" s="5"/>
      <c r="M4" s="5"/>
      <c r="N4" s="5"/>
      <c r="O4" s="9"/>
    </row>
    <row r="5" spans="1:15" ht="16.5" x14ac:dyDescent="0.3">
      <c r="A5" s="82" t="s">
        <v>18</v>
      </c>
      <c r="B5" s="14" t="s">
        <v>22</v>
      </c>
      <c r="C5" s="14">
        <v>10</v>
      </c>
      <c r="D5" s="14">
        <f>('STDs and Samples'!I19)</f>
        <v>0.24247878533261136</v>
      </c>
      <c r="E5" s="14">
        <f>('STDs and Samples'!J19)</f>
        <v>3950.7640988913076</v>
      </c>
      <c r="F5" s="14"/>
      <c r="G5" s="14"/>
      <c r="H5" s="14"/>
      <c r="I5" s="5"/>
      <c r="J5" s="5"/>
      <c r="K5" s="5"/>
      <c r="L5" s="5"/>
      <c r="M5" s="5"/>
      <c r="N5" s="5"/>
      <c r="O5" s="9"/>
    </row>
    <row r="6" spans="1:15" ht="17.25" thickBot="1" x14ac:dyDescent="0.35">
      <c r="A6" s="101" t="s">
        <v>18</v>
      </c>
      <c r="B6" s="33" t="s">
        <v>23</v>
      </c>
      <c r="C6" s="33">
        <v>10</v>
      </c>
      <c r="D6" s="33">
        <f>('STDs and Samples'!I23)</f>
        <v>0.72961789601534877</v>
      </c>
      <c r="E6" s="33">
        <f>('STDs and Samples'!J23)</f>
        <v>2447.95189043141</v>
      </c>
      <c r="F6" s="33"/>
      <c r="G6" s="33"/>
      <c r="H6" s="33"/>
      <c r="I6" s="44"/>
      <c r="J6" s="44"/>
      <c r="K6" s="44"/>
      <c r="L6" s="44"/>
      <c r="M6" s="44"/>
      <c r="N6" s="44"/>
      <c r="O6" s="102"/>
    </row>
    <row r="7" spans="1:15" ht="16.5" x14ac:dyDescent="0.3">
      <c r="A7" s="105" t="s">
        <v>18</v>
      </c>
      <c r="B7" s="106" t="s">
        <v>19</v>
      </c>
      <c r="C7" s="106">
        <v>20</v>
      </c>
      <c r="D7" s="107">
        <f>('STDs and Samples'!I8)</f>
        <v>3.6136017925512798E-2</v>
      </c>
      <c r="E7" s="107">
        <f>('STDs and Samples'!J8)</f>
        <v>7410.7472535477082</v>
      </c>
      <c r="F7" s="107"/>
      <c r="G7" s="107"/>
      <c r="H7" s="107"/>
      <c r="I7" s="107"/>
      <c r="J7" s="107">
        <f>AVERAGE(D7:D11)</f>
        <v>0.64325174800784168</v>
      </c>
      <c r="K7" s="107">
        <f>STDEV(D7:D11)</f>
        <v>1.3158627738784217</v>
      </c>
      <c r="L7" s="107">
        <f>K7/SQRT(5)</f>
        <v>0.58847172229071709</v>
      </c>
      <c r="M7" s="107">
        <f>AVERAGE(E7:E11)</f>
        <v>7803.586297256028</v>
      </c>
      <c r="N7" s="107">
        <f>STDEV(E7:E11)</f>
        <v>661.26382697053555</v>
      </c>
      <c r="O7" s="108">
        <f>N7/SQRT(5)</f>
        <v>295.72617363355522</v>
      </c>
    </row>
    <row r="8" spans="1:15" ht="16.5" x14ac:dyDescent="0.3">
      <c r="A8" s="92" t="s">
        <v>18</v>
      </c>
      <c r="B8" s="93" t="s">
        <v>20</v>
      </c>
      <c r="C8" s="93">
        <v>20</v>
      </c>
      <c r="D8" s="94">
        <f>('STDs and Samples'!I12)</f>
        <v>0.87639780272761492</v>
      </c>
      <c r="E8" s="94">
        <f>('STDs and Samples'!J12)</f>
        <v>8835.3078924727743</v>
      </c>
      <c r="F8" s="94"/>
      <c r="G8" s="94"/>
      <c r="H8" s="94"/>
      <c r="I8" s="94"/>
      <c r="J8" s="94"/>
      <c r="K8" s="94"/>
      <c r="L8" s="94"/>
      <c r="M8" s="94"/>
      <c r="N8" s="94"/>
      <c r="O8" s="95"/>
    </row>
    <row r="9" spans="1:15" ht="16.5" x14ac:dyDescent="0.3">
      <c r="A9" s="92" t="s">
        <v>18</v>
      </c>
      <c r="B9" s="93" t="s">
        <v>21</v>
      </c>
      <c r="C9" s="93">
        <v>20</v>
      </c>
      <c r="D9" s="94">
        <f>('STDs and Samples'!I16)</f>
        <v>2.8419722056570884</v>
      </c>
      <c r="E9" s="94">
        <f>('STDs and Samples'!J16)</f>
        <v>7825.1131938215822</v>
      </c>
      <c r="F9" s="94"/>
      <c r="G9" s="94"/>
      <c r="H9" s="94"/>
      <c r="I9" s="94"/>
      <c r="J9" s="94"/>
      <c r="K9" s="94"/>
      <c r="L9" s="94"/>
      <c r="M9" s="94"/>
      <c r="N9" s="94"/>
      <c r="O9" s="95"/>
    </row>
    <row r="10" spans="1:15" ht="16.5" x14ac:dyDescent="0.3">
      <c r="A10" s="92" t="s">
        <v>18</v>
      </c>
      <c r="B10" s="93" t="s">
        <v>22</v>
      </c>
      <c r="C10" s="93">
        <v>20</v>
      </c>
      <c r="D10" s="93">
        <f>('STDs and Samples'!I20)</f>
        <v>-0.22551512012678721</v>
      </c>
      <c r="E10" s="93">
        <f>('STDs and Samples'!J20)</f>
        <v>7868.2066638048473</v>
      </c>
      <c r="F10" s="93"/>
      <c r="G10" s="93"/>
      <c r="H10" s="93"/>
      <c r="I10" s="94"/>
      <c r="J10" s="94"/>
      <c r="K10" s="94"/>
      <c r="L10" s="94"/>
      <c r="M10" s="94"/>
      <c r="N10" s="94"/>
      <c r="O10" s="95"/>
    </row>
    <row r="11" spans="1:15" ht="17.25" thickBot="1" x14ac:dyDescent="0.35">
      <c r="A11" s="97" t="s">
        <v>18</v>
      </c>
      <c r="B11" s="98" t="s">
        <v>23</v>
      </c>
      <c r="C11" s="98">
        <v>20</v>
      </c>
      <c r="D11" s="98">
        <f>('STDs and Samples'!I24)</f>
        <v>-0.3127321661442205</v>
      </c>
      <c r="E11" s="98">
        <f>('STDs and Samples'!J24)</f>
        <v>7078.5564826332284</v>
      </c>
      <c r="F11" s="98"/>
      <c r="G11" s="98"/>
      <c r="H11" s="98"/>
      <c r="I11" s="99"/>
      <c r="J11" s="99"/>
      <c r="K11" s="99"/>
      <c r="L11" s="99"/>
      <c r="M11" s="99"/>
      <c r="N11" s="99"/>
      <c r="O11" s="100"/>
    </row>
    <row r="12" spans="1:15" ht="16.5" x14ac:dyDescent="0.3">
      <c r="A12" s="84" t="s">
        <v>18</v>
      </c>
      <c r="B12" s="57" t="s">
        <v>19</v>
      </c>
      <c r="C12" s="57">
        <v>35</v>
      </c>
      <c r="D12" s="4">
        <f>('STDs and Samples'!I9)</f>
        <v>0.6509098300971774</v>
      </c>
      <c r="E12" s="4">
        <f>('STDs and Samples'!J9)</f>
        <v>9186.5068145972655</v>
      </c>
      <c r="F12" s="4"/>
      <c r="G12" s="4"/>
      <c r="H12" s="4"/>
      <c r="I12" s="4"/>
      <c r="J12" s="4">
        <f>AVERAGE(D12:D16)</f>
        <v>0.47222124801267978</v>
      </c>
      <c r="K12" s="4">
        <f>STDEV(D12:D16)</f>
        <v>0.93025327295202942</v>
      </c>
      <c r="L12" s="4">
        <f>K12/SQRT(5)</f>
        <v>0.41602191092248081</v>
      </c>
      <c r="M12" s="4">
        <f>AVERAGE(E12:E16)</f>
        <v>11255.404837446031</v>
      </c>
      <c r="N12" s="4">
        <f>STDEV(E12:E16)</f>
        <v>4418.5403901532036</v>
      </c>
      <c r="O12" s="7">
        <f>N12/SQRT(5)</f>
        <v>1976.0313347422011</v>
      </c>
    </row>
    <row r="13" spans="1:15" ht="16.5" x14ac:dyDescent="0.3">
      <c r="A13" s="82" t="s">
        <v>18</v>
      </c>
      <c r="B13" s="14" t="s">
        <v>20</v>
      </c>
      <c r="C13" s="14">
        <v>35</v>
      </c>
      <c r="D13" s="5">
        <f>('STDs and Samples'!I13)</f>
        <v>0.48285747313675698</v>
      </c>
      <c r="E13" s="5">
        <f>('STDs and Samples'!J13)</f>
        <v>17937.44228998166</v>
      </c>
      <c r="F13" s="5"/>
      <c r="G13" s="5"/>
      <c r="H13" s="5"/>
      <c r="I13" s="5"/>
      <c r="J13" s="5"/>
      <c r="K13" s="5"/>
      <c r="L13" s="5"/>
      <c r="M13" s="5"/>
      <c r="N13" s="5"/>
      <c r="O13" s="9"/>
    </row>
    <row r="14" spans="1:15" ht="16.5" x14ac:dyDescent="0.3">
      <c r="A14" s="82" t="s">
        <v>18</v>
      </c>
      <c r="B14" s="14" t="s">
        <v>21</v>
      </c>
      <c r="C14" s="14">
        <v>35</v>
      </c>
      <c r="D14" s="5">
        <f>('STDs and Samples'!I17)</f>
        <v>1.8996026596638451</v>
      </c>
      <c r="E14" s="5">
        <f>('STDs and Samples'!J17)</f>
        <v>7201.6428951071684</v>
      </c>
      <c r="F14" s="5"/>
      <c r="G14" s="5"/>
      <c r="H14" s="5"/>
      <c r="I14" s="5"/>
      <c r="J14" s="5"/>
      <c r="K14" s="5"/>
      <c r="L14" s="5"/>
      <c r="M14" s="5"/>
      <c r="N14" s="5"/>
      <c r="O14" s="9"/>
    </row>
    <row r="15" spans="1:15" ht="16.5" x14ac:dyDescent="0.3">
      <c r="A15" s="82" t="s">
        <v>18</v>
      </c>
      <c r="B15" s="14" t="s">
        <v>22</v>
      </c>
      <c r="C15" s="14">
        <v>35</v>
      </c>
      <c r="D15" s="14">
        <f>('STDs and Samples'!I21)</f>
        <v>-0.12978909401009209</v>
      </c>
      <c r="E15" s="14">
        <f>('STDs and Samples'!J21)</f>
        <v>8468.2676197457404</v>
      </c>
      <c r="F15" s="14"/>
      <c r="G15" s="14"/>
      <c r="H15" s="14"/>
      <c r="I15" s="5"/>
      <c r="J15" s="5"/>
      <c r="K15" s="5"/>
      <c r="L15" s="5"/>
      <c r="M15" s="5"/>
      <c r="N15" s="5"/>
      <c r="O15" s="9"/>
    </row>
    <row r="16" spans="1:15" ht="17.25" thickBot="1" x14ac:dyDescent="0.35">
      <c r="A16" s="101" t="s">
        <v>18</v>
      </c>
      <c r="B16" s="33" t="s">
        <v>23</v>
      </c>
      <c r="C16" s="33">
        <v>35</v>
      </c>
      <c r="D16" s="33">
        <f>('STDs and Samples'!I25)</f>
        <v>-0.54247462882428887</v>
      </c>
      <c r="E16" s="33">
        <f>('STDs and Samples'!J25)</f>
        <v>13483.164567798329</v>
      </c>
      <c r="F16" s="33"/>
      <c r="G16" s="33"/>
      <c r="H16" s="33"/>
      <c r="I16" s="44"/>
      <c r="J16" s="44"/>
      <c r="K16" s="44"/>
      <c r="L16" s="44"/>
      <c r="M16" s="44"/>
      <c r="N16" s="44"/>
      <c r="O16" s="102"/>
    </row>
    <row r="17" spans="1:15" ht="16.5" x14ac:dyDescent="0.3">
      <c r="A17" s="105" t="s">
        <v>18</v>
      </c>
      <c r="B17" s="106" t="s">
        <v>19</v>
      </c>
      <c r="C17" s="106">
        <v>50</v>
      </c>
      <c r="D17" s="107">
        <f>('STDs and Samples'!I10)</f>
        <v>-0.38931298703757666</v>
      </c>
      <c r="E17" s="107">
        <f>('STDs and Samples'!J10)</f>
        <v>15517.411473095335</v>
      </c>
      <c r="F17" s="107"/>
      <c r="G17" s="107"/>
      <c r="H17" s="107"/>
      <c r="I17" s="107"/>
      <c r="J17" s="107">
        <f>AVERAGE(D17:D21)</f>
        <v>-0.18552291366025675</v>
      </c>
      <c r="K17" s="107">
        <f>STDEV(D17:D21)</f>
        <v>0.32966945027171407</v>
      </c>
      <c r="L17" s="107">
        <f>K17/SQRT(5)</f>
        <v>0.14743266018250784</v>
      </c>
      <c r="M17" s="107">
        <f>AVERAGE(E17:E21)</f>
        <v>14298.252019742678</v>
      </c>
      <c r="N17" s="107">
        <f>STDEV(E17:E21)</f>
        <v>2710.7251129619212</v>
      </c>
      <c r="O17" s="108">
        <f>N17/SQRT(5)</f>
        <v>1212.2731241797303</v>
      </c>
    </row>
    <row r="18" spans="1:15" ht="16.5" x14ac:dyDescent="0.3">
      <c r="A18" s="92" t="s">
        <v>18</v>
      </c>
      <c r="B18" s="93" t="s">
        <v>20</v>
      </c>
      <c r="C18" s="93">
        <v>50</v>
      </c>
      <c r="D18" s="94">
        <f>('STDs and Samples'!I14)</f>
        <v>0.34245930149893744</v>
      </c>
      <c r="E18" s="94">
        <f>('STDs and Samples'!J14)</f>
        <v>17569.762779080964</v>
      </c>
      <c r="F18" s="94"/>
      <c r="G18" s="94"/>
      <c r="H18" s="94"/>
      <c r="I18" s="94"/>
      <c r="J18" s="94"/>
      <c r="K18" s="94"/>
      <c r="L18" s="94"/>
      <c r="M18" s="94"/>
      <c r="N18" s="94"/>
      <c r="O18" s="95"/>
    </row>
    <row r="19" spans="1:15" ht="16.5" x14ac:dyDescent="0.3">
      <c r="A19" s="92" t="s">
        <v>18</v>
      </c>
      <c r="B19" s="93" t="s">
        <v>21</v>
      </c>
      <c r="C19" s="93">
        <v>50</v>
      </c>
      <c r="D19" s="94">
        <f>('STDs and Samples'!I18)</f>
        <v>-0.11489837883638399</v>
      </c>
      <c r="E19" s="94">
        <f>('STDs and Samples'!J18)</f>
        <v>12227.44362993813</v>
      </c>
      <c r="F19" s="94"/>
      <c r="G19" s="94"/>
      <c r="H19" s="94"/>
      <c r="I19" s="94"/>
      <c r="J19" s="94"/>
      <c r="K19" s="94"/>
      <c r="L19" s="94"/>
      <c r="M19" s="94"/>
      <c r="N19" s="94"/>
      <c r="O19" s="95"/>
    </row>
    <row r="20" spans="1:15" ht="16.5" x14ac:dyDescent="0.3">
      <c r="A20" s="92" t="s">
        <v>18</v>
      </c>
      <c r="B20" s="93" t="s">
        <v>22</v>
      </c>
      <c r="C20" s="93">
        <v>50</v>
      </c>
      <c r="D20" s="93">
        <f>('STDs and Samples'!I22)</f>
        <v>-0.25742379549901884</v>
      </c>
      <c r="E20" s="93">
        <f>('STDs and Samples'!J22)</f>
        <v>10853.720794732451</v>
      </c>
      <c r="F20" s="93"/>
      <c r="G20" s="93"/>
      <c r="H20" s="93"/>
      <c r="I20" s="94"/>
      <c r="J20" s="94"/>
      <c r="K20" s="94"/>
      <c r="L20" s="94"/>
      <c r="M20" s="94"/>
      <c r="N20" s="94"/>
      <c r="O20" s="95"/>
    </row>
    <row r="21" spans="1:15" ht="17.25" thickBot="1" x14ac:dyDescent="0.35">
      <c r="A21" s="97" t="s">
        <v>18</v>
      </c>
      <c r="B21" s="98" t="s">
        <v>23</v>
      </c>
      <c r="C21" s="98">
        <v>50</v>
      </c>
      <c r="D21" s="98">
        <f>('STDs and Samples'!I26)</f>
        <v>-0.5084387084272417</v>
      </c>
      <c r="E21" s="98">
        <f>('STDs and Samples'!J26)</f>
        <v>15322.921421866513</v>
      </c>
      <c r="F21" s="98"/>
      <c r="G21" s="98"/>
      <c r="H21" s="98"/>
      <c r="I21" s="99"/>
      <c r="J21" s="99"/>
      <c r="K21" s="99"/>
      <c r="L21" s="99"/>
      <c r="M21" s="99"/>
      <c r="N21" s="99"/>
      <c r="O21" s="100"/>
    </row>
    <row r="22" spans="1:15" ht="16.5" x14ac:dyDescent="0.3">
      <c r="A22" s="104" t="s">
        <v>24</v>
      </c>
      <c r="B22" s="57" t="s">
        <v>19</v>
      </c>
      <c r="C22" s="57">
        <v>10</v>
      </c>
      <c r="D22" s="57">
        <f>('STDs and Samples'!I27)</f>
        <v>0.79768973680944311</v>
      </c>
      <c r="E22" s="57">
        <f>('STDs and Samples'!J27)</f>
        <v>2785.4622985612154</v>
      </c>
      <c r="F22" s="57"/>
      <c r="G22" s="57"/>
      <c r="H22" s="57"/>
      <c r="I22" s="4"/>
      <c r="J22" s="4">
        <f>AVERAGE(D22:D26)</f>
        <v>1.0036070552115786</v>
      </c>
      <c r="K22" s="4">
        <f>STDEV(D22:D26)</f>
        <v>0.15692956308212225</v>
      </c>
      <c r="L22" s="4">
        <f>K22/SQRT(5)</f>
        <v>7.0181034146193352E-2</v>
      </c>
      <c r="M22" s="4">
        <f>AVERAGE(E22:E26)</f>
        <v>2165.7510142105607</v>
      </c>
      <c r="N22" s="4">
        <f>STDEV(E22:E26)</f>
        <v>369.94255611992219</v>
      </c>
      <c r="O22" s="7">
        <f>N22/SQRT(5)</f>
        <v>165.44334065083535</v>
      </c>
    </row>
    <row r="23" spans="1:15" ht="16.5" x14ac:dyDescent="0.3">
      <c r="A23" s="83" t="s">
        <v>24</v>
      </c>
      <c r="B23" s="14" t="s">
        <v>20</v>
      </c>
      <c r="C23" s="14">
        <v>10</v>
      </c>
      <c r="D23" s="5">
        <f>('STDs and Samples'!I31)</f>
        <v>1.0423229146632198</v>
      </c>
      <c r="E23" s="5">
        <f>('STDs and Samples'!J31)</f>
        <v>2079.4641473571119</v>
      </c>
      <c r="F23" s="5"/>
      <c r="G23" s="5"/>
      <c r="H23" s="5"/>
      <c r="I23" s="5"/>
      <c r="J23" s="5"/>
      <c r="K23" s="5"/>
      <c r="L23" s="5"/>
      <c r="M23" s="5"/>
      <c r="N23" s="5"/>
      <c r="O23" s="9"/>
    </row>
    <row r="24" spans="1:15" ht="16.5" x14ac:dyDescent="0.3">
      <c r="A24" s="83" t="s">
        <v>24</v>
      </c>
      <c r="B24" s="14" t="s">
        <v>21</v>
      </c>
      <c r="C24" s="14">
        <v>10</v>
      </c>
      <c r="D24" s="5">
        <f>('STDs and Samples'!I35)</f>
        <v>1.0210504644150653</v>
      </c>
      <c r="E24" s="5">
        <f>('STDs and Samples'!J35)</f>
        <v>2181.587956273976</v>
      </c>
      <c r="F24" s="5"/>
      <c r="G24" s="5"/>
      <c r="H24" s="5"/>
      <c r="I24" s="5"/>
      <c r="J24" s="5"/>
      <c r="K24" s="5"/>
      <c r="L24" s="5"/>
      <c r="M24" s="5"/>
      <c r="N24" s="5"/>
      <c r="O24" s="9"/>
    </row>
    <row r="25" spans="1:15" ht="16.5" x14ac:dyDescent="0.3">
      <c r="A25" s="83" t="s">
        <v>24</v>
      </c>
      <c r="B25" s="14" t="s">
        <v>22</v>
      </c>
      <c r="C25" s="14">
        <v>10</v>
      </c>
      <c r="D25" s="5">
        <f>('STDs and Samples'!I39)</f>
        <v>0.93170617337281625</v>
      </c>
      <c r="E25" s="5">
        <f>('STDs and Samples'!J39)</f>
        <v>1841.8879737102382</v>
      </c>
      <c r="F25" s="5"/>
      <c r="G25" s="5"/>
      <c r="H25" s="5"/>
      <c r="I25" s="5"/>
      <c r="J25" s="5"/>
      <c r="K25" s="5"/>
      <c r="L25" s="5"/>
      <c r="M25" s="5"/>
      <c r="N25" s="5"/>
      <c r="O25" s="9"/>
    </row>
    <row r="26" spans="1:15" ht="17.25" thickBot="1" x14ac:dyDescent="0.35">
      <c r="A26" s="103" t="s">
        <v>24</v>
      </c>
      <c r="B26" s="33" t="s">
        <v>23</v>
      </c>
      <c r="C26" s="33">
        <v>10</v>
      </c>
      <c r="D26" s="44">
        <f>('STDs and Samples'!I43)</f>
        <v>1.2252659867973481</v>
      </c>
      <c r="E26" s="44">
        <f>('STDs and Samples'!J43)</f>
        <v>1940.3526951502627</v>
      </c>
      <c r="F26" s="44"/>
      <c r="G26" s="44"/>
      <c r="H26" s="44"/>
      <c r="I26" s="44"/>
      <c r="J26" s="44"/>
      <c r="K26" s="44"/>
      <c r="L26" s="44"/>
      <c r="M26" s="44"/>
      <c r="N26" s="44"/>
      <c r="O26" s="102"/>
    </row>
    <row r="27" spans="1:15" ht="16.5" x14ac:dyDescent="0.3">
      <c r="A27" s="109" t="s">
        <v>24</v>
      </c>
      <c r="B27" s="106" t="s">
        <v>19</v>
      </c>
      <c r="C27" s="106">
        <v>20</v>
      </c>
      <c r="D27" s="106">
        <f>('STDs and Samples'!I28)</f>
        <v>0.18078867961296341</v>
      </c>
      <c r="E27" s="106">
        <f>('STDs and Samples'!J28)</f>
        <v>5587.3093418210119</v>
      </c>
      <c r="F27" s="106"/>
      <c r="G27" s="106"/>
      <c r="H27" s="106"/>
      <c r="I27" s="107"/>
      <c r="J27" s="107">
        <f>AVERAGE(D27:D31)</f>
        <v>0.29778715597781297</v>
      </c>
      <c r="K27" s="107">
        <f>STDEV(D27:D31)</f>
        <v>7.0376132974798042E-2</v>
      </c>
      <c r="L27" s="107">
        <f>K27/SQRT(5)</f>
        <v>3.1473163465042579E-2</v>
      </c>
      <c r="M27" s="107">
        <f>AVERAGE(E27:E31)</f>
        <v>4300.6360507380514</v>
      </c>
      <c r="N27" s="107">
        <f>STDEV(E27:E31)</f>
        <v>776.6496987484478</v>
      </c>
      <c r="O27" s="108">
        <f>N27/SQRT(5)</f>
        <v>347.32830422125249</v>
      </c>
    </row>
    <row r="28" spans="1:15" ht="16.5" x14ac:dyDescent="0.3">
      <c r="A28" s="96" t="s">
        <v>24</v>
      </c>
      <c r="B28" s="93" t="s">
        <v>20</v>
      </c>
      <c r="C28" s="93">
        <v>20</v>
      </c>
      <c r="D28" s="94">
        <f>('STDs and Samples'!I32)</f>
        <v>0.35735001667264554</v>
      </c>
      <c r="E28" s="94">
        <f>('STDs and Samples'!J32)</f>
        <v>4397.5695395873663</v>
      </c>
      <c r="F28" s="94"/>
      <c r="G28" s="94"/>
      <c r="H28" s="94"/>
      <c r="I28" s="94"/>
      <c r="J28" s="94"/>
      <c r="K28" s="94"/>
      <c r="L28" s="94"/>
      <c r="M28" s="94"/>
      <c r="N28" s="94"/>
      <c r="O28" s="95"/>
    </row>
    <row r="29" spans="1:15" ht="16.5" x14ac:dyDescent="0.3">
      <c r="A29" s="96" t="s">
        <v>24</v>
      </c>
      <c r="B29" s="93" t="s">
        <v>21</v>
      </c>
      <c r="C29" s="93">
        <v>20</v>
      </c>
      <c r="D29" s="94">
        <f>('STDs and Samples'!I36)</f>
        <v>0.3403320564741219</v>
      </c>
      <c r="E29" s="94">
        <f>('STDs and Samples'!J36)</f>
        <v>4068.1488007587677</v>
      </c>
      <c r="F29" s="94"/>
      <c r="G29" s="94"/>
      <c r="H29" s="94"/>
      <c r="I29" s="94"/>
      <c r="J29" s="94"/>
      <c r="K29" s="94"/>
      <c r="L29" s="94"/>
      <c r="M29" s="94"/>
      <c r="N29" s="94"/>
      <c r="O29" s="95"/>
    </row>
    <row r="30" spans="1:15" ht="16.5" x14ac:dyDescent="0.3">
      <c r="A30" s="96" t="s">
        <v>24</v>
      </c>
      <c r="B30" s="93" t="s">
        <v>22</v>
      </c>
      <c r="C30" s="93">
        <v>20</v>
      </c>
      <c r="D30" s="94">
        <f>('STDs and Samples'!I40)</f>
        <v>0.32331409627559826</v>
      </c>
      <c r="E30" s="94">
        <f>('STDs and Samples'!J40)</f>
        <v>3600.1235917231224</v>
      </c>
      <c r="F30" s="94"/>
      <c r="G30" s="94"/>
      <c r="H30" s="94"/>
      <c r="I30" s="94"/>
      <c r="J30" s="94"/>
      <c r="K30" s="94"/>
      <c r="L30" s="94"/>
      <c r="M30" s="94"/>
      <c r="N30" s="94"/>
      <c r="O30" s="95"/>
    </row>
    <row r="31" spans="1:15" ht="17.25" thickBot="1" x14ac:dyDescent="0.35">
      <c r="A31" s="110" t="s">
        <v>24</v>
      </c>
      <c r="B31" s="98" t="s">
        <v>23</v>
      </c>
      <c r="C31" s="98">
        <v>20</v>
      </c>
      <c r="D31" s="99">
        <f>('STDs and Samples'!I44)</f>
        <v>0.28715093085373566</v>
      </c>
      <c r="E31" s="99">
        <f>('STDs and Samples'!J44)</f>
        <v>3850.0289797999908</v>
      </c>
      <c r="F31" s="99"/>
      <c r="G31" s="99"/>
      <c r="H31" s="99"/>
      <c r="I31" s="99"/>
      <c r="J31" s="99"/>
      <c r="K31" s="99"/>
      <c r="L31" s="99"/>
      <c r="M31" s="99"/>
      <c r="N31" s="99"/>
      <c r="O31" s="100"/>
    </row>
    <row r="32" spans="1:15" ht="16.5" x14ac:dyDescent="0.3">
      <c r="A32" s="104" t="s">
        <v>24</v>
      </c>
      <c r="B32" s="57" t="s">
        <v>19</v>
      </c>
      <c r="C32" s="57">
        <v>35</v>
      </c>
      <c r="D32" s="57">
        <f>('STDs and Samples'!I29)</f>
        <v>0.22546082513408772</v>
      </c>
      <c r="E32" s="57">
        <f>('STDs and Samples'!J29)</f>
        <v>7556.7874597518658</v>
      </c>
      <c r="F32" s="57"/>
      <c r="G32" s="57"/>
      <c r="H32" s="57"/>
      <c r="I32" s="4"/>
      <c r="J32" s="4">
        <f>AVERAGE(D32:D36)</f>
        <v>0.29565991095299748</v>
      </c>
      <c r="K32" s="4">
        <f>STDEV(D32:D36)</f>
        <v>0.2695942142748296</v>
      </c>
      <c r="L32" s="4">
        <f>K32/SQRT(5)</f>
        <v>0.12056619789183262</v>
      </c>
      <c r="M32" s="4">
        <f>AVERAGE(E32:E36)</f>
        <v>6002.1205445468877</v>
      </c>
      <c r="N32" s="4">
        <f>STDEV(E32:E36)</f>
        <v>1178.1128046783256</v>
      </c>
      <c r="O32" s="7">
        <f>N32/SQRT(5)</f>
        <v>526.86806328473358</v>
      </c>
    </row>
    <row r="33" spans="1:15" ht="16.5" x14ac:dyDescent="0.3">
      <c r="A33" s="83" t="s">
        <v>24</v>
      </c>
      <c r="B33" s="14" t="s">
        <v>20</v>
      </c>
      <c r="C33" s="14">
        <v>35</v>
      </c>
      <c r="D33" s="5">
        <f>('STDs and Samples'!I33)</f>
        <v>0.77003555148684244</v>
      </c>
      <c r="E33" s="5">
        <f>('STDs and Samples'!J33)</f>
        <v>6655.3661165366939</v>
      </c>
      <c r="F33" s="5"/>
      <c r="G33" s="5"/>
      <c r="H33" s="5"/>
      <c r="I33" s="5"/>
      <c r="J33" s="5"/>
      <c r="K33" s="5"/>
      <c r="L33" s="5"/>
      <c r="M33" s="5"/>
      <c r="N33" s="5"/>
      <c r="O33" s="9"/>
    </row>
    <row r="34" spans="1:15" ht="16.5" x14ac:dyDescent="0.3">
      <c r="A34" s="83" t="s">
        <v>24</v>
      </c>
      <c r="B34" s="14" t="s">
        <v>21</v>
      </c>
      <c r="C34" s="14">
        <v>35</v>
      </c>
      <c r="D34" s="5">
        <f>('STDs and Samples'!I37)</f>
        <v>9.9953368669976284E-2</v>
      </c>
      <c r="E34" s="5">
        <f>('STDs and Samples'!J37)</f>
        <v>5946.8036650727154</v>
      </c>
      <c r="F34" s="5"/>
      <c r="G34" s="5"/>
      <c r="H34" s="5"/>
      <c r="I34" s="5"/>
      <c r="J34" s="5"/>
      <c r="K34" s="5"/>
      <c r="L34" s="5"/>
      <c r="M34" s="5"/>
      <c r="N34" s="5"/>
      <c r="O34" s="9"/>
    </row>
    <row r="35" spans="1:15" ht="16.5" x14ac:dyDescent="0.3">
      <c r="A35" s="83" t="s">
        <v>24</v>
      </c>
      <c r="B35" s="14" t="s">
        <v>22</v>
      </c>
      <c r="C35" s="14">
        <v>35</v>
      </c>
      <c r="D35" s="5">
        <f>('STDs and Samples'!I41)</f>
        <v>0.17227969951370148</v>
      </c>
      <c r="E35" s="5">
        <f>('STDs and Samples'!J41)</f>
        <v>4485.262730422879</v>
      </c>
      <c r="F35" s="5"/>
      <c r="G35" s="5"/>
      <c r="H35" s="5"/>
      <c r="I35" s="5"/>
      <c r="J35" s="5"/>
      <c r="K35" s="5"/>
      <c r="L35" s="5"/>
      <c r="M35" s="5"/>
      <c r="N35" s="5"/>
      <c r="O35" s="9"/>
    </row>
    <row r="36" spans="1:15" ht="17.25" thickBot="1" x14ac:dyDescent="0.35">
      <c r="A36" s="103" t="s">
        <v>24</v>
      </c>
      <c r="B36" s="33" t="s">
        <v>23</v>
      </c>
      <c r="C36" s="33">
        <v>35</v>
      </c>
      <c r="D36" s="44">
        <f>('STDs and Samples'!I45)</f>
        <v>0.21057010996037961</v>
      </c>
      <c r="E36" s="44">
        <f>('STDs and Samples'!J45)</f>
        <v>5366.3827509502826</v>
      </c>
      <c r="F36" s="44"/>
      <c r="G36" s="44"/>
      <c r="H36" s="44"/>
      <c r="I36" s="44"/>
      <c r="J36" s="44"/>
      <c r="K36" s="44"/>
      <c r="L36" s="44"/>
      <c r="M36" s="44"/>
      <c r="N36" s="44"/>
      <c r="O36" s="102"/>
    </row>
    <row r="37" spans="1:15" ht="16.5" x14ac:dyDescent="0.3">
      <c r="A37" s="109" t="s">
        <v>24</v>
      </c>
      <c r="B37" s="106" t="s">
        <v>19</v>
      </c>
      <c r="C37" s="106">
        <v>50</v>
      </c>
      <c r="D37" s="106">
        <f>('STDs and Samples'!I30)</f>
        <v>5.1026733099221122E-2</v>
      </c>
      <c r="E37" s="106">
        <f>('STDs and Samples'!J30)</f>
        <v>12104.349869898975</v>
      </c>
      <c r="F37" s="106"/>
      <c r="G37" s="106"/>
      <c r="H37" s="106"/>
      <c r="I37" s="107"/>
      <c r="J37" s="107">
        <f>AVERAGE(D37:D41)</f>
        <v>1.1034526632690644E-2</v>
      </c>
      <c r="K37" s="107">
        <f>STDEV(D37:D41)</f>
        <v>8.387659964938099E-2</v>
      </c>
      <c r="L37" s="107">
        <f>K37/SQRT(5)</f>
        <v>3.7510755707510182E-2</v>
      </c>
      <c r="M37" s="107">
        <f>AVERAGE(E37:E41)</f>
        <v>9167.0725046048137</v>
      </c>
      <c r="N37" s="107">
        <f>STDEV(E37:E41)</f>
        <v>2147.1388997155482</v>
      </c>
      <c r="O37" s="108">
        <f>N37/SQRT(5)</f>
        <v>960.22970737961384</v>
      </c>
    </row>
    <row r="38" spans="1:15" ht="16.5" x14ac:dyDescent="0.3">
      <c r="A38" s="96" t="s">
        <v>24</v>
      </c>
      <c r="B38" s="93" t="s">
        <v>20</v>
      </c>
      <c r="C38" s="93">
        <v>50</v>
      </c>
      <c r="D38" s="94">
        <f>('STDs and Samples'!I34)</f>
        <v>-7.8735213414521166E-2</v>
      </c>
      <c r="E38" s="94">
        <f>('STDs and Samples'!J34)</f>
        <v>9355.1922167926296</v>
      </c>
      <c r="F38" s="94"/>
      <c r="G38" s="94"/>
      <c r="H38" s="94"/>
      <c r="I38" s="94"/>
      <c r="J38" s="94"/>
      <c r="K38" s="94"/>
      <c r="L38" s="94"/>
      <c r="M38" s="94"/>
      <c r="N38" s="94"/>
      <c r="O38" s="95"/>
    </row>
    <row r="39" spans="1:15" ht="16.5" x14ac:dyDescent="0.3">
      <c r="A39" s="96" t="s">
        <v>24</v>
      </c>
      <c r="B39" s="93" t="s">
        <v>21</v>
      </c>
      <c r="C39" s="93">
        <v>50</v>
      </c>
      <c r="D39" s="94">
        <f>('STDs and Samples'!I38)</f>
        <v>-2.7681332818950466E-2</v>
      </c>
      <c r="E39" s="94">
        <f>('STDs and Samples'!J38)</f>
        <v>9857.8171104235353</v>
      </c>
      <c r="F39" s="94"/>
      <c r="G39" s="94"/>
      <c r="H39" s="94"/>
      <c r="I39" s="94"/>
      <c r="J39" s="94"/>
      <c r="K39" s="94"/>
      <c r="L39" s="94"/>
      <c r="M39" s="94"/>
      <c r="N39" s="94"/>
      <c r="O39" s="95"/>
    </row>
    <row r="40" spans="1:15" ht="16.5" x14ac:dyDescent="0.3">
      <c r="A40" s="96" t="s">
        <v>24</v>
      </c>
      <c r="B40" s="93" t="s">
        <v>22</v>
      </c>
      <c r="C40" s="93">
        <v>50</v>
      </c>
      <c r="D40" s="94">
        <f>('STDs and Samples'!I42)</f>
        <v>0.13611653409183888</v>
      </c>
      <c r="E40" s="94">
        <f>('STDs and Samples'!J42)</f>
        <v>6254.2037509533457</v>
      </c>
      <c r="F40" s="94"/>
      <c r="G40" s="94"/>
      <c r="H40" s="94"/>
      <c r="I40" s="94"/>
      <c r="J40" s="94"/>
      <c r="K40" s="94"/>
      <c r="L40" s="94"/>
      <c r="M40" s="94"/>
      <c r="N40" s="94"/>
      <c r="O40" s="95"/>
    </row>
    <row r="41" spans="1:15" ht="17.25" thickBot="1" x14ac:dyDescent="0.35">
      <c r="A41" s="110" t="s">
        <v>24</v>
      </c>
      <c r="B41" s="98" t="s">
        <v>23</v>
      </c>
      <c r="C41" s="98">
        <v>50</v>
      </c>
      <c r="D41" s="99">
        <f>('STDs and Samples'!I46)</f>
        <v>-2.555408779413515E-2</v>
      </c>
      <c r="E41" s="99">
        <f>('STDs and Samples'!J46)</f>
        <v>8263.7995749555757</v>
      </c>
      <c r="F41" s="99"/>
      <c r="G41" s="99"/>
      <c r="H41" s="99"/>
      <c r="I41" s="99"/>
      <c r="J41" s="99"/>
      <c r="K41" s="99"/>
      <c r="L41" s="99"/>
      <c r="M41" s="99"/>
      <c r="N41" s="99"/>
      <c r="O41" s="100"/>
    </row>
    <row r="42" spans="1:15" ht="16.5" x14ac:dyDescent="0.3">
      <c r="A42" s="84" t="s">
        <v>25</v>
      </c>
      <c r="B42" s="57" t="s">
        <v>19</v>
      </c>
      <c r="C42" s="57">
        <v>10</v>
      </c>
      <c r="D42" s="4">
        <f>('STDs and Samples'!I47)</f>
        <v>1.072104345010636</v>
      </c>
      <c r="E42" s="4">
        <f>('STDs and Samples'!J47)</f>
        <v>1569.6827252072467</v>
      </c>
      <c r="F42" s="4"/>
      <c r="G42" s="4"/>
      <c r="H42" s="4"/>
      <c r="I42" s="4"/>
      <c r="J42" s="4">
        <f>AVERAGE(D42:D46)</f>
        <v>1.0048834022264679</v>
      </c>
      <c r="K42" s="4">
        <f>STDEV(D42:D46)</f>
        <v>0.15344648683738646</v>
      </c>
      <c r="L42" s="4">
        <f>K42/SQRT(5)</f>
        <v>6.8623355095384558E-2</v>
      </c>
      <c r="M42" s="4">
        <f>AVERAGE(E42:E46)</f>
        <v>1882.5905459726932</v>
      </c>
      <c r="N42" s="4">
        <f>STDEV(E42:E46)</f>
        <v>488.69373799666653</v>
      </c>
      <c r="O42" s="7">
        <f>N42/SQRT(5)</f>
        <v>218.55048366780363</v>
      </c>
    </row>
    <row r="43" spans="1:15" ht="16.5" x14ac:dyDescent="0.3">
      <c r="A43" s="82" t="s">
        <v>25</v>
      </c>
      <c r="B43" s="14" t="s">
        <v>20</v>
      </c>
      <c r="C43" s="14">
        <v>10</v>
      </c>
      <c r="D43" s="5">
        <f>('STDs and Samples'!I51)</f>
        <v>0.81045320695833589</v>
      </c>
      <c r="E43" s="5">
        <f>('STDs and Samples'!J51)</f>
        <v>2326.3423385655906</v>
      </c>
      <c r="F43" s="5"/>
      <c r="G43" s="5"/>
      <c r="H43" s="5"/>
      <c r="I43" s="5"/>
      <c r="J43" s="5"/>
      <c r="K43" s="5"/>
      <c r="L43" s="5"/>
      <c r="M43" s="5"/>
      <c r="N43" s="5"/>
      <c r="O43" s="9"/>
    </row>
    <row r="44" spans="1:15" ht="16.5" x14ac:dyDescent="0.3">
      <c r="A44" s="82" t="s">
        <v>25</v>
      </c>
      <c r="B44" s="14" t="s">
        <v>21</v>
      </c>
      <c r="C44" s="14">
        <v>10</v>
      </c>
      <c r="D44" s="5">
        <f>('STDs and Samples'!I55)</f>
        <v>1.2210114967477175</v>
      </c>
      <c r="E44" s="5">
        <f>('STDs and Samples'!J55)</f>
        <v>1550.5864032146624</v>
      </c>
      <c r="F44" s="5"/>
      <c r="G44" s="5"/>
      <c r="H44" s="5"/>
      <c r="I44" s="5"/>
      <c r="J44" s="5"/>
      <c r="K44" s="5"/>
      <c r="L44" s="5"/>
      <c r="M44" s="5"/>
      <c r="N44" s="5"/>
      <c r="O44" s="9"/>
    </row>
    <row r="45" spans="1:15" ht="16.5" x14ac:dyDescent="0.3">
      <c r="A45" s="82" t="s">
        <v>25</v>
      </c>
      <c r="B45" s="14" t="s">
        <v>22</v>
      </c>
      <c r="C45" s="14">
        <v>10</v>
      </c>
      <c r="D45" s="5">
        <f>('STDs and Samples'!I59)</f>
        <v>0.98488729899320271</v>
      </c>
      <c r="E45" s="5">
        <f>('STDs and Samples'!J59)</f>
        <v>1468.3891911596252</v>
      </c>
      <c r="F45" s="5"/>
      <c r="G45" s="5"/>
      <c r="H45" s="5"/>
      <c r="I45" s="5"/>
      <c r="J45" s="5"/>
      <c r="K45" s="5"/>
      <c r="L45" s="5"/>
      <c r="M45" s="5"/>
      <c r="N45" s="5"/>
      <c r="O45" s="9"/>
    </row>
    <row r="46" spans="1:15" ht="17.25" thickBot="1" x14ac:dyDescent="0.35">
      <c r="A46" s="101" t="s">
        <v>25</v>
      </c>
      <c r="B46" s="33" t="s">
        <v>23</v>
      </c>
      <c r="C46" s="33">
        <v>10</v>
      </c>
      <c r="D46" s="44">
        <f>('STDs and Samples'!I63)</f>
        <v>0.93596066342244733</v>
      </c>
      <c r="E46" s="44">
        <f>('STDs and Samples'!J63)</f>
        <v>2497.9520717163414</v>
      </c>
      <c r="F46" s="44"/>
      <c r="G46" s="44"/>
      <c r="H46" s="44"/>
      <c r="I46" s="44"/>
      <c r="J46" s="44"/>
      <c r="K46" s="44"/>
      <c r="L46" s="44"/>
      <c r="M46" s="44"/>
      <c r="N46" s="44"/>
      <c r="O46" s="102"/>
    </row>
    <row r="47" spans="1:15" ht="16.5" x14ac:dyDescent="0.3">
      <c r="A47" s="105" t="s">
        <v>25</v>
      </c>
      <c r="B47" s="106" t="s">
        <v>19</v>
      </c>
      <c r="C47" s="106">
        <v>20</v>
      </c>
      <c r="D47" s="107">
        <f>('STDs and Samples'!I48)</f>
        <v>1.2736322652542986E-2</v>
      </c>
      <c r="E47" s="107">
        <f>('STDs and Samples'!J48)</f>
        <v>4876.9614320099026</v>
      </c>
      <c r="F47" s="107"/>
      <c r="G47" s="107"/>
      <c r="H47" s="107"/>
      <c r="I47" s="107"/>
      <c r="J47" s="107">
        <f>AVERAGE(D47:D51)</f>
        <v>0.20291202787104398</v>
      </c>
      <c r="K47" s="107">
        <f>STDEV(D47:D51)</f>
        <v>0.16452559148719839</v>
      </c>
      <c r="L47" s="107">
        <f>K47/SQRT(5)</f>
        <v>7.3578081320747266E-2</v>
      </c>
      <c r="M47" s="107">
        <f>AVERAGE(E47:E51)</f>
        <v>4189.4144865725466</v>
      </c>
      <c r="N47" s="107">
        <f>STDEV(E47:E51)</f>
        <v>564.37817174930751</v>
      </c>
      <c r="O47" s="108">
        <f>N47/SQRT(5)</f>
        <v>252.3975914097006</v>
      </c>
    </row>
    <row r="48" spans="1:15" ht="16.5" x14ac:dyDescent="0.3">
      <c r="A48" s="92" t="s">
        <v>25</v>
      </c>
      <c r="B48" s="93" t="s">
        <v>20</v>
      </c>
      <c r="C48" s="93">
        <v>20</v>
      </c>
      <c r="D48" s="94">
        <f>('STDs and Samples'!I52)</f>
        <v>3.6136017925512798E-2</v>
      </c>
      <c r="E48" s="94">
        <f>('STDs and Samples'!J52)</f>
        <v>4625.2999758467595</v>
      </c>
      <c r="F48" s="94"/>
      <c r="G48" s="94"/>
      <c r="H48" s="94"/>
      <c r="I48" s="94"/>
      <c r="J48" s="94"/>
      <c r="K48" s="94"/>
      <c r="L48" s="94"/>
      <c r="M48" s="94"/>
      <c r="N48" s="94"/>
      <c r="O48" s="95"/>
    </row>
    <row r="49" spans="1:15" ht="16.5" x14ac:dyDescent="0.3">
      <c r="A49" s="92" t="s">
        <v>25</v>
      </c>
      <c r="B49" s="93" t="s">
        <v>21</v>
      </c>
      <c r="C49" s="93">
        <v>20</v>
      </c>
      <c r="D49" s="94">
        <f>('STDs and Samples'!I56)</f>
        <v>0.32756858632522934</v>
      </c>
      <c r="E49" s="94">
        <f>('STDs and Samples'!J56)</f>
        <v>3955.5253211503282</v>
      </c>
      <c r="F49" s="94"/>
      <c r="G49" s="94"/>
      <c r="H49" s="94"/>
      <c r="I49" s="94"/>
      <c r="J49" s="94"/>
      <c r="K49" s="94"/>
      <c r="L49" s="94"/>
      <c r="M49" s="94"/>
      <c r="N49" s="94"/>
      <c r="O49" s="95"/>
    </row>
    <row r="50" spans="1:15" ht="16.5" x14ac:dyDescent="0.3">
      <c r="A50" s="92" t="s">
        <v>25</v>
      </c>
      <c r="B50" s="93" t="s">
        <v>22</v>
      </c>
      <c r="C50" s="93">
        <v>20</v>
      </c>
      <c r="D50" s="94">
        <f>('STDs and Samples'!I60)</f>
        <v>0.34884103657338361</v>
      </c>
      <c r="E50" s="94">
        <f>('STDs and Samples'!J60)</f>
        <v>3460.8945784728407</v>
      </c>
      <c r="F50" s="94"/>
      <c r="G50" s="94"/>
      <c r="H50" s="94"/>
      <c r="I50" s="94"/>
      <c r="J50" s="94"/>
      <c r="K50" s="94"/>
      <c r="L50" s="94"/>
      <c r="M50" s="94"/>
      <c r="N50" s="94"/>
      <c r="O50" s="95"/>
    </row>
    <row r="51" spans="1:15" ht="17.25" thickBot="1" x14ac:dyDescent="0.35">
      <c r="A51" s="97" t="s">
        <v>25</v>
      </c>
      <c r="B51" s="98" t="s">
        <v>23</v>
      </c>
      <c r="C51" s="98">
        <v>20</v>
      </c>
      <c r="D51" s="99">
        <f>('STDs and Samples'!I64)</f>
        <v>0.2892781758785512</v>
      </c>
      <c r="E51" s="99">
        <f>('STDs and Samples'!J64)</f>
        <v>4028.3911253829024</v>
      </c>
      <c r="F51" s="99"/>
      <c r="G51" s="99"/>
      <c r="H51" s="99"/>
      <c r="I51" s="99"/>
      <c r="J51" s="99"/>
      <c r="K51" s="99"/>
      <c r="L51" s="99"/>
      <c r="M51" s="99"/>
      <c r="N51" s="99"/>
      <c r="O51" s="100"/>
    </row>
    <row r="52" spans="1:15" ht="16.5" x14ac:dyDescent="0.3">
      <c r="A52" s="84" t="s">
        <v>25</v>
      </c>
      <c r="B52" s="57" t="s">
        <v>19</v>
      </c>
      <c r="C52" s="57">
        <v>35</v>
      </c>
      <c r="D52" s="4">
        <f>('STDs and Samples'!I49)</f>
        <v>0.18929765971222512</v>
      </c>
      <c r="E52" s="4">
        <f>('STDs and Samples'!J49)</f>
        <v>6021.9325193913683</v>
      </c>
      <c r="F52" s="4"/>
      <c r="G52" s="4"/>
      <c r="H52" s="4"/>
      <c r="I52" s="4"/>
      <c r="J52" s="4">
        <f>AVERAGE(D52:D56)</f>
        <v>0.1824904756328157</v>
      </c>
      <c r="K52" s="4">
        <f>STDEV(D52:D56)</f>
        <v>0.12047984182290732</v>
      </c>
      <c r="L52" s="4">
        <f>K52/SQRT(5)</f>
        <v>5.3880223246888584E-2</v>
      </c>
      <c r="M52" s="4">
        <f>AVERAGE(E52:E56)</f>
        <v>6113.3759075123799</v>
      </c>
      <c r="N52" s="4">
        <f>STDEV(E52:E56)</f>
        <v>1180.7515961124584</v>
      </c>
      <c r="O52" s="7">
        <f>N52/SQRT(5)</f>
        <v>528.04816668976662</v>
      </c>
    </row>
    <row r="53" spans="1:15" ht="16.5" x14ac:dyDescent="0.3">
      <c r="A53" s="82" t="s">
        <v>25</v>
      </c>
      <c r="B53" s="14" t="s">
        <v>20</v>
      </c>
      <c r="C53" s="14">
        <v>35</v>
      </c>
      <c r="D53" s="5">
        <f>('STDs and Samples'!I53)</f>
        <v>0.29353266592818206</v>
      </c>
      <c r="E53" s="5">
        <f>('STDs and Samples'!J53)</f>
        <v>6860.2750152397311</v>
      </c>
      <c r="F53" s="5"/>
      <c r="G53" s="5"/>
      <c r="H53" s="5"/>
      <c r="I53" s="5"/>
      <c r="J53" s="5"/>
      <c r="K53" s="5"/>
      <c r="L53" s="5"/>
      <c r="M53" s="5"/>
      <c r="N53" s="5"/>
      <c r="O53" s="9"/>
    </row>
    <row r="54" spans="1:15" ht="16.5" x14ac:dyDescent="0.3">
      <c r="A54" s="82" t="s">
        <v>25</v>
      </c>
      <c r="B54" s="14" t="s">
        <v>21</v>
      </c>
      <c r="C54" s="14">
        <v>35</v>
      </c>
      <c r="D54" s="5">
        <f>('STDs and Samples'!I57)</f>
        <v>0.29778715597781291</v>
      </c>
      <c r="E54" s="5">
        <f>('STDs and Samples'!J57)</f>
        <v>5479.5352552541681</v>
      </c>
      <c r="F54" s="5"/>
      <c r="G54" s="5"/>
      <c r="H54" s="5"/>
      <c r="I54" s="5"/>
      <c r="J54" s="5"/>
      <c r="K54" s="5"/>
      <c r="L54" s="5"/>
      <c r="M54" s="5"/>
      <c r="N54" s="5"/>
      <c r="O54" s="9"/>
    </row>
    <row r="55" spans="1:15" ht="16.5" x14ac:dyDescent="0.3">
      <c r="A55" s="82" t="s">
        <v>25</v>
      </c>
      <c r="B55" s="14" t="s">
        <v>22</v>
      </c>
      <c r="C55" s="14">
        <v>35</v>
      </c>
      <c r="D55" s="5">
        <f>('STDs and Samples'!I61)</f>
        <v>1.4863567677358525E-2</v>
      </c>
      <c r="E55" s="5">
        <f>('STDs and Samples'!J61)</f>
        <v>4584.5944645582185</v>
      </c>
      <c r="F55" s="5"/>
      <c r="G55" s="5"/>
      <c r="H55" s="5"/>
      <c r="I55" s="5"/>
      <c r="J55" s="5"/>
      <c r="K55" s="5"/>
      <c r="L55" s="5"/>
      <c r="M55" s="5"/>
      <c r="N55" s="5"/>
      <c r="O55" s="9"/>
    </row>
    <row r="56" spans="1:15" ht="17.25" thickBot="1" x14ac:dyDescent="0.35">
      <c r="A56" s="101" t="s">
        <v>25</v>
      </c>
      <c r="B56" s="33" t="s">
        <v>23</v>
      </c>
      <c r="C56" s="33">
        <v>35</v>
      </c>
      <c r="D56" s="44">
        <f>('STDs and Samples'!I65)</f>
        <v>0.11697132886849992</v>
      </c>
      <c r="E56" s="44">
        <f>('STDs and Samples'!J65)</f>
        <v>7620.5422831184133</v>
      </c>
      <c r="F56" s="44"/>
      <c r="G56" s="44"/>
      <c r="H56" s="44"/>
      <c r="I56" s="44"/>
      <c r="J56" s="44"/>
      <c r="K56" s="44"/>
      <c r="L56" s="44"/>
      <c r="M56" s="44"/>
      <c r="N56" s="44"/>
      <c r="O56" s="102"/>
    </row>
    <row r="57" spans="1:15" ht="16.5" x14ac:dyDescent="0.3">
      <c r="A57" s="105" t="s">
        <v>25</v>
      </c>
      <c r="B57" s="106" t="s">
        <v>19</v>
      </c>
      <c r="C57" s="106">
        <v>50</v>
      </c>
      <c r="D57" s="107">
        <f>('STDs and Samples'!I50)</f>
        <v>8.2935408471452865E-2</v>
      </c>
      <c r="E57" s="107">
        <f>('STDs and Samples'!J50)</f>
        <v>14372.917977452815</v>
      </c>
      <c r="F57" s="107"/>
      <c r="G57" s="107"/>
      <c r="H57" s="107"/>
      <c r="I57" s="107"/>
      <c r="J57" s="107">
        <f>AVERAGE(D57:D61)</f>
        <v>0.11186594080894285</v>
      </c>
      <c r="K57" s="107">
        <f>STDEV(D57:D61)</f>
        <v>6.6091965836814745E-2</v>
      </c>
      <c r="L57" s="107">
        <f>K57/SQRT(5)</f>
        <v>2.9557225675542306E-2</v>
      </c>
      <c r="M57" s="107">
        <f>AVERAGE(E57:E61)</f>
        <v>9418.072679898647</v>
      </c>
      <c r="N57" s="107">
        <f>STDEV(E57:E61)</f>
        <v>3084.2165152019779</v>
      </c>
      <c r="O57" s="108">
        <f>N57/SQRT(5)</f>
        <v>1379.3035570638272</v>
      </c>
    </row>
    <row r="58" spans="1:15" ht="16.5" x14ac:dyDescent="0.3">
      <c r="A58" s="92" t="s">
        <v>25</v>
      </c>
      <c r="B58" s="93" t="s">
        <v>20</v>
      </c>
      <c r="C58" s="93">
        <v>50</v>
      </c>
      <c r="D58" s="94">
        <f>('STDs and Samples'!I54)</f>
        <v>0.22120633508445686</v>
      </c>
      <c r="E58" s="94">
        <f>('STDs and Samples'!J54)</f>
        <v>8572.2503626618836</v>
      </c>
      <c r="F58" s="94"/>
      <c r="G58" s="94"/>
      <c r="H58" s="94"/>
      <c r="I58" s="94"/>
      <c r="J58" s="94"/>
      <c r="K58" s="94"/>
      <c r="L58" s="94"/>
      <c r="M58" s="94"/>
      <c r="N58" s="94"/>
      <c r="O58" s="95"/>
    </row>
    <row r="59" spans="1:15" ht="16.5" x14ac:dyDescent="0.3">
      <c r="A59" s="92" t="s">
        <v>25</v>
      </c>
      <c r="B59" s="93" t="s">
        <v>21</v>
      </c>
      <c r="C59" s="93">
        <v>50</v>
      </c>
      <c r="D59" s="94">
        <f>('STDs and Samples'!I58)</f>
        <v>9.1444388570714574E-2</v>
      </c>
      <c r="E59" s="94">
        <f>('STDs and Samples'!J58)</f>
        <v>8912.8467481817952</v>
      </c>
      <c r="F59" s="94"/>
      <c r="G59" s="94"/>
      <c r="H59" s="94"/>
      <c r="I59" s="94"/>
      <c r="J59" s="94"/>
      <c r="K59" s="94"/>
      <c r="L59" s="94"/>
      <c r="M59" s="94"/>
      <c r="N59" s="94"/>
      <c r="O59" s="95"/>
    </row>
    <row r="60" spans="1:15" ht="16.5" x14ac:dyDescent="0.3">
      <c r="A60" s="92" t="s">
        <v>25</v>
      </c>
      <c r="B60" s="93" t="s">
        <v>22</v>
      </c>
      <c r="C60" s="93">
        <v>50</v>
      </c>
      <c r="D60" s="94">
        <f>('STDs and Samples'!I62)</f>
        <v>0.11697132886849992</v>
      </c>
      <c r="E60" s="94">
        <f>('STDs and Samples'!J62)</f>
        <v>5879.1178943163923</v>
      </c>
      <c r="F60" s="94"/>
      <c r="G60" s="94"/>
      <c r="H60" s="94"/>
      <c r="I60" s="94"/>
      <c r="J60" s="94"/>
      <c r="K60" s="94"/>
      <c r="L60" s="94"/>
      <c r="M60" s="94"/>
      <c r="N60" s="94"/>
      <c r="O60" s="95"/>
    </row>
    <row r="61" spans="1:15" ht="17.25" thickBot="1" x14ac:dyDescent="0.35">
      <c r="A61" s="97" t="s">
        <v>25</v>
      </c>
      <c r="B61" s="98" t="s">
        <v>23</v>
      </c>
      <c r="C61" s="98">
        <v>50</v>
      </c>
      <c r="D61" s="99">
        <f>('STDs and Samples'!I66)</f>
        <v>4.6772243049590045E-2</v>
      </c>
      <c r="E61" s="99">
        <f>('STDs and Samples'!J66)</f>
        <v>9353.2304168803475</v>
      </c>
      <c r="F61" s="99"/>
      <c r="G61" s="99"/>
      <c r="H61" s="99"/>
      <c r="I61" s="99"/>
      <c r="J61" s="99"/>
      <c r="K61" s="99"/>
      <c r="L61" s="99"/>
      <c r="M61" s="99"/>
      <c r="N61" s="99"/>
      <c r="O61" s="100"/>
    </row>
    <row r="62" spans="1:15" ht="16.5" x14ac:dyDescent="0.3">
      <c r="A62" s="1"/>
      <c r="B62" s="1"/>
      <c r="C62" s="1"/>
      <c r="D62" s="1"/>
      <c r="E62" s="1"/>
      <c r="F62" s="1"/>
      <c r="G62" s="1"/>
      <c r="H62" s="1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Read, Zoe</cp:lastModifiedBy>
  <cp:lastPrinted>2021-07-14T18:10:05Z</cp:lastPrinted>
  <dcterms:created xsi:type="dcterms:W3CDTF">2014-08-19T17:33:21Z</dcterms:created>
  <dcterms:modified xsi:type="dcterms:W3CDTF">2026-10-13T16:26:46Z</dcterms:modified>
</cp:coreProperties>
</file>