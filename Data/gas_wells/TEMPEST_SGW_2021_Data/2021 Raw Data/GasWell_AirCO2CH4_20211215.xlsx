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S:\Biogeochemistry\TEMPEST\Soil (GHG)\"/>
    </mc:Choice>
  </mc:AlternateContent>
  <xr:revisionPtr revIDLastSave="0" documentId="13_ncr:1_{6DC7C738-2FB7-42BF-A722-DDE41BDD8DCE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42" i="1" l="1"/>
  <c r="Q43" i="1"/>
  <c r="Q41" i="1"/>
  <c r="P42" i="1"/>
  <c r="Q29" i="1"/>
  <c r="P29" i="1"/>
  <c r="Q8" i="1"/>
  <c r="P43" i="1" l="1"/>
  <c r="P41" i="1"/>
  <c r="P38" i="1"/>
  <c r="P14" i="1"/>
  <c r="Q14" i="1"/>
  <c r="Q11" i="1"/>
  <c r="Q38" i="1" l="1"/>
  <c r="Q35" i="1"/>
  <c r="P35" i="1"/>
  <c r="Q32" i="1"/>
  <c r="P32" i="1"/>
  <c r="Q26" i="1"/>
  <c r="P26" i="1"/>
  <c r="Q20" i="1"/>
  <c r="P20" i="1"/>
  <c r="Q17" i="1"/>
  <c r="P17" i="1"/>
  <c r="P11" i="1"/>
  <c r="P8" i="1"/>
  <c r="AB31" i="1" l="1"/>
  <c r="AB14" i="1"/>
  <c r="AB30" i="1"/>
  <c r="AB29" i="1"/>
  <c r="AB15" i="1"/>
  <c r="AB16" i="1"/>
  <c r="I7" i="1" l="1"/>
  <c r="D2" i="2" s="1"/>
  <c r="I25" i="1"/>
  <c r="D16" i="2" s="1"/>
  <c r="I19" i="1"/>
  <c r="D5" i="2" s="1"/>
  <c r="I48" i="1"/>
  <c r="D47" i="2" s="1"/>
  <c r="I58" i="1"/>
  <c r="D59" i="2" s="1"/>
  <c r="I14" i="1"/>
  <c r="D18" i="2" s="1"/>
  <c r="I24" i="1"/>
  <c r="D11" i="2" s="1"/>
  <c r="I37" i="1"/>
  <c r="D34" i="2" s="1"/>
  <c r="I39" i="1"/>
  <c r="D25" i="2" s="1"/>
  <c r="I65" i="1"/>
  <c r="D56" i="2" s="1"/>
  <c r="I35" i="1"/>
  <c r="D24" i="2" s="1"/>
  <c r="I17" i="1"/>
  <c r="D14" i="2" s="1"/>
  <c r="I20" i="1"/>
  <c r="D10" i="2" s="1"/>
  <c r="I56" i="1"/>
  <c r="D49" i="2" s="1"/>
  <c r="I53" i="1"/>
  <c r="D53" i="2" s="1"/>
  <c r="I55" i="1"/>
  <c r="D44" i="2" s="1"/>
  <c r="I62" i="1"/>
  <c r="D60" i="2" s="1"/>
  <c r="I42" i="1"/>
  <c r="D40" i="2" s="1"/>
  <c r="I29" i="1"/>
  <c r="D32" i="2" s="1"/>
  <c r="I49" i="1"/>
  <c r="D52" i="2" s="1"/>
  <c r="I27" i="1"/>
  <c r="D22" i="2" s="1"/>
  <c r="I64" i="1"/>
  <c r="D51" i="2" s="1"/>
  <c r="I12" i="1"/>
  <c r="D8" i="2" s="1"/>
  <c r="I22" i="1"/>
  <c r="D20" i="2" s="1"/>
  <c r="I40" i="1"/>
  <c r="D30" i="2" s="1"/>
  <c r="I45" i="1"/>
  <c r="D36" i="2" s="1"/>
  <c r="I47" i="1"/>
  <c r="D42" i="2" s="1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I61" i="1"/>
  <c r="D55" i="2" s="1"/>
  <c r="I66" i="1"/>
  <c r="D61" i="2" s="1"/>
  <c r="I32" i="1"/>
  <c r="D28" i="2" s="1"/>
  <c r="I60" i="1"/>
  <c r="D50" i="2" s="1"/>
  <c r="I26" i="1"/>
  <c r="D21" i="2" s="1"/>
  <c r="I51" i="1"/>
  <c r="D43" i="2" s="1"/>
  <c r="I57" i="1"/>
  <c r="D54" i="2" s="1"/>
  <c r="I36" i="1"/>
  <c r="D29" i="2" s="1"/>
  <c r="I46" i="1"/>
  <c r="D41" i="2" s="1"/>
  <c r="I33" i="1"/>
  <c r="D33" i="2" s="1"/>
  <c r="I50" i="1"/>
  <c r="D57" i="2" s="1"/>
  <c r="I59" i="1"/>
  <c r="D45" i="2" s="1"/>
  <c r="I18" i="1"/>
  <c r="D19" i="2" s="1"/>
  <c r="I44" i="1"/>
  <c r="D31" i="2" s="1"/>
  <c r="I54" i="1"/>
  <c r="D58" i="2" s="1"/>
  <c r="I13" i="1"/>
  <c r="D13" i="2" s="1"/>
  <c r="I15" i="1"/>
  <c r="D4" i="2" s="1"/>
  <c r="I16" i="1"/>
  <c r="D9" i="2" s="1"/>
  <c r="I34" i="1"/>
  <c r="D38" i="2" s="1"/>
  <c r="I52" i="1"/>
  <c r="D48" i="2" s="1"/>
  <c r="I21" i="1"/>
  <c r="D15" i="2" s="1"/>
  <c r="I63" i="1"/>
  <c r="D46" i="2" s="1"/>
  <c r="I8" i="1"/>
  <c r="D7" i="2" s="1"/>
  <c r="J65" i="1"/>
  <c r="E56" i="2" s="1"/>
  <c r="J63" i="1"/>
  <c r="E46" i="2" s="1"/>
  <c r="J62" i="1"/>
  <c r="E60" i="2" s="1"/>
  <c r="J54" i="1"/>
  <c r="E58" i="2" s="1"/>
  <c r="J46" i="1"/>
  <c r="E41" i="2" s="1"/>
  <c r="J38" i="1"/>
  <c r="E39" i="2" s="1"/>
  <c r="J30" i="1"/>
  <c r="E37" i="2" s="1"/>
  <c r="J22" i="1"/>
  <c r="E20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J60" i="1"/>
  <c r="E50" i="2" s="1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J66" i="1"/>
  <c r="E61" i="2" s="1"/>
  <c r="J58" i="1"/>
  <c r="E59" i="2" s="1"/>
  <c r="J50" i="1"/>
  <c r="E57" i="2" s="1"/>
  <c r="J42" i="1"/>
  <c r="E40" i="2" s="1"/>
  <c r="J34" i="1"/>
  <c r="E38" i="2" s="1"/>
  <c r="J26" i="1"/>
  <c r="E21" i="2" s="1"/>
  <c r="J18" i="1"/>
  <c r="E19" i="2" s="1"/>
  <c r="J10" i="1"/>
  <c r="E17" i="2" s="1"/>
  <c r="J57" i="1"/>
  <c r="E54" i="2" s="1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J64" i="1"/>
  <c r="E51" i="2" s="1"/>
  <c r="J56" i="1"/>
  <c r="E49" i="2" s="1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J55" i="1"/>
  <c r="E44" i="2" s="1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J61" i="1"/>
  <c r="E55" i="2" s="1"/>
  <c r="J59" i="1"/>
  <c r="E45" i="2" s="1"/>
  <c r="N7" i="2" l="1"/>
  <c r="O7" i="2" s="1"/>
  <c r="M7" i="2"/>
  <c r="M12" i="2"/>
  <c r="N12" i="2"/>
  <c r="O12" i="2" s="1"/>
  <c r="N57" i="2"/>
  <c r="O57" i="2" s="1"/>
  <c r="M57" i="2"/>
  <c r="N37" i="2"/>
  <c r="O37" i="2" s="1"/>
  <c r="M37" i="2"/>
  <c r="N17" i="2"/>
  <c r="O17" i="2" s="1"/>
  <c r="M17" i="2"/>
  <c r="M2" i="2"/>
  <c r="N2" i="2"/>
  <c r="O2" i="2" s="1"/>
  <c r="N47" i="2"/>
  <c r="O47" i="2" s="1"/>
  <c r="M47" i="2"/>
  <c r="M52" i="2"/>
  <c r="N52" i="2"/>
  <c r="O52" i="2" s="1"/>
  <c r="M22" i="2"/>
  <c r="N22" i="2"/>
  <c r="O22" i="2" s="1"/>
  <c r="N27" i="2"/>
  <c r="O27" i="2" s="1"/>
  <c r="M27" i="2"/>
  <c r="M42" i="2"/>
  <c r="N42" i="2"/>
  <c r="O42" i="2" s="1"/>
  <c r="N32" i="2"/>
  <c r="O32" i="2" s="1"/>
  <c r="M32" i="2"/>
  <c r="J2" i="2"/>
  <c r="K2" i="2"/>
  <c r="L2" i="2" s="1"/>
  <c r="J12" i="2"/>
  <c r="K12" i="2"/>
  <c r="L12" i="2" s="1"/>
  <c r="K22" i="2"/>
  <c r="L22" i="2" s="1"/>
  <c r="J22" i="2"/>
  <c r="J7" i="2"/>
  <c r="K7" i="2"/>
  <c r="L7" i="2" s="1"/>
  <c r="J57" i="2"/>
  <c r="K57" i="2"/>
  <c r="L57" i="2" s="1"/>
  <c r="J17" i="2"/>
  <c r="K17" i="2"/>
  <c r="L17" i="2" s="1"/>
  <c r="J37" i="2"/>
  <c r="K37" i="2"/>
  <c r="L37" i="2" s="1"/>
  <c r="K52" i="2"/>
  <c r="L52" i="2" s="1"/>
  <c r="J52" i="2"/>
  <c r="K47" i="2"/>
  <c r="L47" i="2" s="1"/>
  <c r="J47" i="2"/>
  <c r="J27" i="2"/>
  <c r="K27" i="2"/>
  <c r="L27" i="2" s="1"/>
  <c r="K42" i="2"/>
  <c r="L42" i="2" s="1"/>
  <c r="J42" i="2"/>
  <c r="K32" i="2"/>
  <c r="L32" i="2" s="1"/>
  <c r="J32" i="2"/>
</calcChain>
</file>

<file path=xl/sharedStrings.xml><?xml version="1.0" encoding="utf-8"?>
<sst xmlns="http://schemas.openxmlformats.org/spreadsheetml/2006/main" count="320" uniqueCount="50">
  <si>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</si>
  <si>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</si>
  <si>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</si>
  <si>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</si>
  <si>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</si>
  <si>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</si>
  <si>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</si>
  <si>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</si>
  <si>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</si>
  <si>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</si>
  <si>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</si>
  <si>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</si>
  <si>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</si>
  <si>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</si>
  <si>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</si>
  <si>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</si>
  <si>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</si>
  <si>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</si>
  <si>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</si>
  <si>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</si>
  <si>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</si>
  <si>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</si>
  <si>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</si>
  <si>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</si>
  <si>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</si>
  <si>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</si>
  <si>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</si>
  <si>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</si>
  <si>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</si>
  <si>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</si>
  <si>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</si>
  <si>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</si>
  <si>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</si>
  <si>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</si>
  <si>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</si>
  <si>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</si>
  <si>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</si>
  <si>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</si>
  <si>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</si>
  <si>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</si>
  <si>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</si>
  <si>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</si>
  <si>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</si>
  <si>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</si>
  <si>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</si>
  <si>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</si>
  <si>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</si>
  <si>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AES</t>
  </si>
  <si>
    <t>notes</t>
  </si>
  <si>
    <t>stopcock was loose on hose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</si>
</sst>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Fill="1" applyBorder="1"/>
    <xf numFmtId="0" fontId="1" fillId="0" borderId="0" xfId="0" applyFont="1"/>
    <xf numFmtId="0" fontId="2" fillId="0" borderId="0" xfId="0" applyFont="1"/>
    <xf numFmtId="14" fontId="2" fillId="0" borderId="0" xfId="0" applyNumberFormat="1" applyFont="1" applyBorder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4" xfId="0" applyFont="1" applyFill="1" applyBorder="1"/>
    <xf numFmtId="14" fontId="1" fillId="0" borderId="4" xfId="0" applyNumberFormat="1" applyFont="1" applyFill="1" applyBorder="1"/>
    <xf numFmtId="14" fontId="4" fillId="0" borderId="4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4" fontId="1" fillId="0" borderId="6" xfId="0" applyNumberFormat="1" applyFont="1" applyFill="1" applyBorder="1"/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14" fontId="4" fillId="0" borderId="6" xfId="0" applyNumberFormat="1" applyFont="1" applyFill="1" applyBorder="1"/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4" fontId="1" fillId="2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0" borderId="20" xfId="0" applyNumberFormat="1" applyFont="1" applyFill="1" applyBorder="1"/>
    <xf numFmtId="0" fontId="1" fillId="0" borderId="2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4" fillId="2" borderId="11" xfId="0" applyNumberFormat="1" applyFont="1" applyFill="1" applyBorder="1"/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4" fillId="0" borderId="20" xfId="0" applyNumberFormat="1" applyFont="1" applyFill="1" applyBorder="1"/>
    <xf numFmtId="0" fontId="4" fillId="0" borderId="2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4" fontId="1" fillId="2" borderId="11" xfId="0" applyNumberFormat="1" applyFont="1" applyFill="1" applyBorder="1"/>
    <xf numFmtId="0" fontId="1" fillId="0" borderId="20" xfId="0" applyFont="1" applyFill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Fill="1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1" fillId="0" borderId="3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14" fontId="1" fillId="0" borderId="8" xfId="0" applyNumberFormat="1" applyFont="1" applyFill="1" applyBorder="1"/>
    <xf numFmtId="14" fontId="1" fillId="2" borderId="5" xfId="0" applyNumberFormat="1" applyFont="1" applyFill="1" applyBorder="1"/>
    <xf numFmtId="14" fontId="1" fillId="2" borderId="8" xfId="0" applyNumberFormat="1" applyFont="1" applyFill="1" applyBorder="1"/>
    <xf numFmtId="14" fontId="1" fillId="0" borderId="19" xfId="0" applyNumberFormat="1" applyFont="1" applyFill="1" applyBorder="1"/>
    <xf numFmtId="14" fontId="1" fillId="2" borderId="10" xfId="0" applyNumberFormat="1" applyFont="1" applyFill="1" applyBorder="1"/>
    <xf numFmtId="0" fontId="1" fillId="0" borderId="8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4" xfId="0" applyFont="1" applyFill="1" applyBorder="1"/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Fill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4" fillId="0" borderId="19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/>
    <xf numFmtId="0" fontId="1" fillId="0" borderId="22" xfId="0" applyFont="1" applyFill="1" applyBorder="1"/>
    <xf numFmtId="0" fontId="1" fillId="0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2" fontId="2" fillId="0" borderId="1" xfId="0" applyNumberFormat="1" applyFont="1" applyFill="1" applyBorder="1" applyAlignment="1">
      <alignment horizontal="right" vertical="center" wrapText="1"/>
    </xf>
    <xf numFmtId="164" fontId="3" fillId="0" borderId="1" xfId="0" applyNumberFormat="1" applyFont="1" applyFill="1" applyBorder="1" applyAlignment="1">
      <alignment horizontal="right" vertical="center" wrapText="1"/>
    </xf>
    <xf numFmtId="0" fontId="1" fillId="0" borderId="14" xfId="0" applyFont="1" applyFill="1" applyBorder="1" applyAlignment="1">
      <alignment horizontal="right"/>
    </xf>
    <xf numFmtId="0" fontId="1" fillId="0" borderId="4" xfId="0" applyFont="1" applyFill="1" applyBorder="1" applyAlignment="1">
      <alignment horizontal="right"/>
    </xf>
    <xf numFmtId="0" fontId="1" fillId="0" borderId="20" xfId="0" applyFont="1" applyFill="1" applyBorder="1" applyAlignment="1">
      <alignment horizontal="right"/>
    </xf>
    <xf numFmtId="0" fontId="1" fillId="3" borderId="6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657874323781504"/>
                  <c:y val="-0.13649564236909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Samples'!$Q$8:$Q$22</c:f>
              <c:numCache>
                <c:formatCode>General</c:formatCode>
                <c:ptCount val="15"/>
                <c:pt idx="0">
                  <c:v>4417</c:v>
                </c:pt>
                <c:pt idx="3">
                  <c:v>3580</c:v>
                </c:pt>
                <c:pt idx="6">
                  <c:v>2521.6666666666665</c:v>
                </c:pt>
                <c:pt idx="9">
                  <c:v>1643</c:v>
                </c:pt>
                <c:pt idx="12">
                  <c:v>866</c:v>
                </c:pt>
              </c:numCache>
            </c:numRef>
          </c:xVal>
          <c:yVal>
            <c:numRef>
              <c:f>'STDs and Samples'!$P$8:$P$22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Samples'!$Q$26:$Q$43</c:f>
              <c:numCache>
                <c:formatCode>General</c:formatCode>
                <c:ptCount val="18"/>
                <c:pt idx="0">
                  <c:v>212953.66666666666</c:v>
                </c:pt>
                <c:pt idx="3">
                  <c:v>186798.33333333334</c:v>
                </c:pt>
                <c:pt idx="6">
                  <c:v>171037.33333333334</c:v>
                </c:pt>
                <c:pt idx="9">
                  <c:v>137860.66666666666</c:v>
                </c:pt>
                <c:pt idx="12">
                  <c:v>109823.33333333333</c:v>
                </c:pt>
                <c:pt idx="15">
                  <c:v>209325</c:v>
                </c:pt>
                <c:pt idx="16">
                  <c:v>465979</c:v>
                </c:pt>
                <c:pt idx="17">
                  <c:v>854607</c:v>
                </c:pt>
              </c:numCache>
            </c:numRef>
          </c:xVal>
          <c:yVal>
            <c:numRef>
              <c:f>'STDs and Samples'!$P$26:$P$43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8.3370044211697247E-2</c:v>
                  </c:pt>
                  <c:pt idx="1">
                    <c:v>0.11641535441304847</c:v>
                  </c:pt>
                  <c:pt idx="2">
                    <c:v>0.15729981450947705</c:v>
                  </c:pt>
                  <c:pt idx="3">
                    <c:v>0.11367329002103736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8.3370044211697247E-2</c:v>
                  </c:pt>
                  <c:pt idx="1">
                    <c:v>0.11641535441304847</c:v>
                  </c:pt>
                  <c:pt idx="2">
                    <c:v>0.15729981450947705</c:v>
                  </c:pt>
                  <c:pt idx="3">
                    <c:v>0.11367329002103736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0.15519101253486581</c:v>
                </c:pt>
                <c:pt idx="1">
                  <c:v>-0.58178983529886219</c:v>
                </c:pt>
                <c:pt idx="2">
                  <c:v>-0.58140174638478437</c:v>
                </c:pt>
                <c:pt idx="3">
                  <c:v>-0.65203392874694255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0.14640728223466132</c:v>
                  </c:pt>
                  <c:pt idx="1">
                    <c:v>7.7730731530794836E-2</c:v>
                  </c:pt>
                  <c:pt idx="2">
                    <c:v>0.12574230540890358</c:v>
                  </c:pt>
                  <c:pt idx="3">
                    <c:v>6.6511126009978633E-2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0.14640728223466132</c:v>
                  </c:pt>
                  <c:pt idx="1">
                    <c:v>7.7730731530794836E-2</c:v>
                  </c:pt>
                  <c:pt idx="2">
                    <c:v>0.12574230540890358</c:v>
                  </c:pt>
                  <c:pt idx="3">
                    <c:v>6.6511126009978633E-2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9.04472000234227E-2</c:v>
                  </c:pt>
                  <c:pt idx="1">
                    <c:v>3.0308228567474203E-2</c:v>
                  </c:pt>
                  <c:pt idx="2">
                    <c:v>0.11329006070122193</c:v>
                  </c:pt>
                  <c:pt idx="3">
                    <c:v>0.20263909445220768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9.04472000234227E-2</c:v>
                  </c:pt>
                  <c:pt idx="1">
                    <c:v>3.0308228567474203E-2</c:v>
                  </c:pt>
                  <c:pt idx="2">
                    <c:v>0.11329006070122193</c:v>
                  </c:pt>
                  <c:pt idx="3">
                    <c:v>0.20263909445220768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-0.26278074792691675</c:v>
                </c:pt>
                <c:pt idx="1">
                  <c:v>-0.79446256021349249</c:v>
                </c:pt>
                <c:pt idx="2">
                  <c:v>-0.62797241607411947</c:v>
                </c:pt>
                <c:pt idx="3">
                  <c:v>-0.93417456928149778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9.04472000234227E-2</c:v>
                  </c:pt>
                  <c:pt idx="1">
                    <c:v>3.0308228567474203E-2</c:v>
                  </c:pt>
                  <c:pt idx="2">
                    <c:v>0.11329006070122193</c:v>
                  </c:pt>
                  <c:pt idx="3">
                    <c:v>0.20263909445220768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9.04472000234227E-2</c:v>
                  </c:pt>
                  <c:pt idx="1">
                    <c:v>3.0308228567474203E-2</c:v>
                  </c:pt>
                  <c:pt idx="2">
                    <c:v>0.11329006070122193</c:v>
                  </c:pt>
                  <c:pt idx="3">
                    <c:v>0.20263909445220768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0.14640728223466132</c:v>
                  </c:pt>
                  <c:pt idx="1">
                    <c:v>7.7730731530794836E-2</c:v>
                  </c:pt>
                  <c:pt idx="2">
                    <c:v>0.12574230540890358</c:v>
                  </c:pt>
                  <c:pt idx="3">
                    <c:v>6.6511126009978633E-2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0.14640728223466132</c:v>
                  </c:pt>
                  <c:pt idx="1">
                    <c:v>7.7730731530794836E-2</c:v>
                  </c:pt>
                  <c:pt idx="2">
                    <c:v>0.12574230540890358</c:v>
                  </c:pt>
                  <c:pt idx="3">
                    <c:v>6.6511126009978633E-2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-0.20185078841670334</c:v>
                </c:pt>
                <c:pt idx="1">
                  <c:v>-1.1029932469053374</c:v>
                </c:pt>
                <c:pt idx="2">
                  <c:v>-0.88682772176400704</c:v>
                </c:pt>
                <c:pt idx="3">
                  <c:v>-0.99005937290869972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-0.11026180469434421</c:v>
                </c:pt>
                <c:pt idx="1">
                  <c:v>-0.81270273917514868</c:v>
                </c:pt>
                <c:pt idx="2">
                  <c:v>-0.87091607628681755</c:v>
                </c:pt>
                <c:pt idx="3">
                  <c:v>-0.92912941339848643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0.27394622024267035</c:v>
                </c:pt>
                <c:pt idx="1">
                  <c:v>-0.50805294162408154</c:v>
                </c:pt>
                <c:pt idx="2">
                  <c:v>-0.3450555977114087</c:v>
                </c:pt>
                <c:pt idx="3">
                  <c:v>-0.55268316674302764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0.16722176887127738</c:v>
                </c:pt>
                <c:pt idx="1">
                  <c:v>-0.20340314407301441</c:v>
                </c:pt>
                <c:pt idx="2">
                  <c:v>-9.667869270162166E-2</c:v>
                </c:pt>
                <c:pt idx="3">
                  <c:v>-0.2984849280220736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7.2139984922218181E-2</c:v>
                </c:pt>
                <c:pt idx="1">
                  <c:v>-0.54298094389108287</c:v>
                </c:pt>
                <c:pt idx="2">
                  <c:v>-0.68075250838869927</c:v>
                </c:pt>
                <c:pt idx="3">
                  <c:v>-0.86509474257565067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0.37290889333250732</c:v>
                </c:pt>
                <c:pt idx="1">
                  <c:v>-0.84180940773098312</c:v>
                </c:pt>
                <c:pt idx="2">
                  <c:v>-0.91360585683537476</c:v>
                </c:pt>
                <c:pt idx="3">
                  <c:v>-0.61477739299547451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-0.42849471423813412</c:v>
                </c:pt>
                <c:pt idx="1">
                  <c:v>-1.0028663070732668</c:v>
                </c:pt>
                <c:pt idx="2">
                  <c:v>-0.55268316674302764</c:v>
                </c:pt>
                <c:pt idx="3">
                  <c:v>-0.92136763511693054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-0.75448940206347981</c:v>
                </c:pt>
                <c:pt idx="1">
                  <c:v>-0.95241474824315397</c:v>
                </c:pt>
                <c:pt idx="2">
                  <c:v>-1.0824245344592145</c:v>
                </c:pt>
                <c:pt idx="3">
                  <c:v>-1.0436156430514352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-8.1155136138509887E-2</c:v>
                </c:pt>
                <c:pt idx="1">
                  <c:v>-0.73314451178920126</c:v>
                </c:pt>
                <c:pt idx="2">
                  <c:v>-0.31982981829635215</c:v>
                </c:pt>
                <c:pt idx="3">
                  <c:v>-0.93495074710965331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5.6616428359106408E-2</c:v>
                </c:pt>
                <c:pt idx="1">
                  <c:v>-0.60895605928430763</c:v>
                </c:pt>
                <c:pt idx="2">
                  <c:v>-0.64970539526247584</c:v>
                </c:pt>
                <c:pt idx="3">
                  <c:v>-0.69627606495181094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-0.10638091555356644</c:v>
                </c:pt>
                <c:pt idx="1">
                  <c:v>-0.67493117467753239</c:v>
                </c:pt>
                <c:pt idx="2">
                  <c:v>-0.53521916560952709</c:v>
                </c:pt>
                <c:pt idx="3">
                  <c:v>-1.0746627561776587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9.3484875196496731E-2</c:v>
                </c:pt>
                <c:pt idx="1">
                  <c:v>-1.0164494190659896</c:v>
                </c:pt>
                <c:pt idx="2">
                  <c:v>-0.8922609665610961</c:v>
                </c:pt>
                <c:pt idx="3">
                  <c:v>-1.5558930096341212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-0.28684226059973983</c:v>
                </c:pt>
                <c:pt idx="1">
                  <c:v>-1.1600423172747729</c:v>
                </c:pt>
                <c:pt idx="2">
                  <c:v>-0.67493117467753239</c:v>
                </c:pt>
                <c:pt idx="3">
                  <c:v>-0.31788937372596338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-0.10832136012395543</c:v>
                </c:pt>
                <c:pt idx="1">
                  <c:v>-1.1561614281339949</c:v>
                </c:pt>
                <c:pt idx="2">
                  <c:v>-0.59343250272119596</c:v>
                </c:pt>
                <c:pt idx="3">
                  <c:v>-0.85151163058292789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-0.26937825946623928</c:v>
                </c:pt>
                <c:pt idx="1">
                  <c:v>-1.0436156430514352</c:v>
                </c:pt>
                <c:pt idx="2">
                  <c:v>-1.1561614281339949</c:v>
                </c:pt>
                <c:pt idx="3">
                  <c:v>-1.105709869303882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-0.4381969370900789</c:v>
                </c:pt>
                <c:pt idx="1">
                  <c:v>-1.1386974270004944</c:v>
                </c:pt>
                <c:pt idx="2">
                  <c:v>-1.1173525367262158</c:v>
                </c:pt>
                <c:pt idx="3">
                  <c:v>-1.1192929812966046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-0.11026180469434421</c:v>
                </c:pt>
                <c:pt idx="1">
                  <c:v>0.27394622024267035</c:v>
                </c:pt>
                <c:pt idx="2">
                  <c:v>0.16722176887127738</c:v>
                </c:pt>
                <c:pt idx="3">
                  <c:v>7.2139984922218181E-2</c:v>
                </c:pt>
                <c:pt idx="4">
                  <c:v>0.37290889333250732</c:v>
                </c:pt>
                <c:pt idx="5">
                  <c:v>-0.42849471423813412</c:v>
                </c:pt>
                <c:pt idx="6">
                  <c:v>-0.75448940206347981</c:v>
                </c:pt>
                <c:pt idx="7">
                  <c:v>-8.1155136138509887E-2</c:v>
                </c:pt>
                <c:pt idx="8">
                  <c:v>5.6616428359106408E-2</c:v>
                </c:pt>
                <c:pt idx="9">
                  <c:v>-0.10638091555356644</c:v>
                </c:pt>
                <c:pt idx="10">
                  <c:v>9.3484875196496731E-2</c:v>
                </c:pt>
                <c:pt idx="11">
                  <c:v>-0.28684226059973983</c:v>
                </c:pt>
                <c:pt idx="12">
                  <c:v>-0.10832136012395543</c:v>
                </c:pt>
                <c:pt idx="13">
                  <c:v>-0.26937825946623928</c:v>
                </c:pt>
                <c:pt idx="14">
                  <c:v>-0.4381969370900789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-0.81270273917514868</c:v>
                </c:pt>
                <c:pt idx="1">
                  <c:v>-0.50805294162408154</c:v>
                </c:pt>
                <c:pt idx="2">
                  <c:v>-0.20340314407301441</c:v>
                </c:pt>
                <c:pt idx="3">
                  <c:v>-0.54298094389108287</c:v>
                </c:pt>
                <c:pt idx="4">
                  <c:v>-0.84180940773098312</c:v>
                </c:pt>
                <c:pt idx="5">
                  <c:v>-1.0028663070732668</c:v>
                </c:pt>
                <c:pt idx="6">
                  <c:v>-0.95241474824315397</c:v>
                </c:pt>
                <c:pt idx="7">
                  <c:v>-0.73314451178920126</c:v>
                </c:pt>
                <c:pt idx="8">
                  <c:v>-0.60895605928430763</c:v>
                </c:pt>
                <c:pt idx="9">
                  <c:v>-0.67493117467753239</c:v>
                </c:pt>
                <c:pt idx="10">
                  <c:v>-1.0164494190659896</c:v>
                </c:pt>
                <c:pt idx="11">
                  <c:v>-1.1600423172747729</c:v>
                </c:pt>
                <c:pt idx="12">
                  <c:v>-1.1561614281339949</c:v>
                </c:pt>
                <c:pt idx="13">
                  <c:v>-1.0436156430514352</c:v>
                </c:pt>
                <c:pt idx="14">
                  <c:v>-1.1386974270004944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-0.87091607628681755</c:v>
                </c:pt>
                <c:pt idx="1">
                  <c:v>-0.3450555977114087</c:v>
                </c:pt>
                <c:pt idx="2">
                  <c:v>-9.667869270162166E-2</c:v>
                </c:pt>
                <c:pt idx="3">
                  <c:v>-0.68075250838869927</c:v>
                </c:pt>
                <c:pt idx="4">
                  <c:v>-0.91360585683537476</c:v>
                </c:pt>
                <c:pt idx="5">
                  <c:v>-0.55268316674302764</c:v>
                </c:pt>
                <c:pt idx="6">
                  <c:v>-1.0824245344592145</c:v>
                </c:pt>
                <c:pt idx="7">
                  <c:v>-0.31982981829635215</c:v>
                </c:pt>
                <c:pt idx="8">
                  <c:v>-0.64970539526247584</c:v>
                </c:pt>
                <c:pt idx="9">
                  <c:v>-0.53521916560952709</c:v>
                </c:pt>
                <c:pt idx="10">
                  <c:v>-0.8922609665610961</c:v>
                </c:pt>
                <c:pt idx="11">
                  <c:v>-0.67493117467753239</c:v>
                </c:pt>
                <c:pt idx="12">
                  <c:v>-0.59343250272119596</c:v>
                </c:pt>
                <c:pt idx="13">
                  <c:v>-1.1561614281339949</c:v>
                </c:pt>
                <c:pt idx="14">
                  <c:v>-1.1173525367262158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-0.11026180469434421</c:v>
                </c:pt>
                <c:pt idx="1">
                  <c:v>0.27394622024267035</c:v>
                </c:pt>
                <c:pt idx="2">
                  <c:v>0.16722176887127738</c:v>
                </c:pt>
                <c:pt idx="3">
                  <c:v>7.2139984922218181E-2</c:v>
                </c:pt>
                <c:pt idx="4">
                  <c:v>0.37290889333250732</c:v>
                </c:pt>
                <c:pt idx="5">
                  <c:v>-0.42849471423813412</c:v>
                </c:pt>
                <c:pt idx="6">
                  <c:v>-0.75448940206347981</c:v>
                </c:pt>
                <c:pt idx="7">
                  <c:v>-8.1155136138509887E-2</c:v>
                </c:pt>
                <c:pt idx="8">
                  <c:v>5.6616428359106408E-2</c:v>
                </c:pt>
                <c:pt idx="9">
                  <c:v>-0.10638091555356644</c:v>
                </c:pt>
                <c:pt idx="10">
                  <c:v>9.3484875196496731E-2</c:v>
                </c:pt>
                <c:pt idx="11">
                  <c:v>-0.28684226059973983</c:v>
                </c:pt>
                <c:pt idx="12">
                  <c:v>-0.10832136012395543</c:v>
                </c:pt>
                <c:pt idx="13">
                  <c:v>-0.26937825946623928</c:v>
                </c:pt>
                <c:pt idx="14">
                  <c:v>-0.4381969370900789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-0.81270273917514868</c:v>
                </c:pt>
                <c:pt idx="1">
                  <c:v>-0.50805294162408154</c:v>
                </c:pt>
                <c:pt idx="2">
                  <c:v>-0.20340314407301441</c:v>
                </c:pt>
                <c:pt idx="3">
                  <c:v>-0.54298094389108287</c:v>
                </c:pt>
                <c:pt idx="4">
                  <c:v>-0.84180940773098312</c:v>
                </c:pt>
                <c:pt idx="5">
                  <c:v>-1.0028663070732668</c:v>
                </c:pt>
                <c:pt idx="6">
                  <c:v>-0.95241474824315397</c:v>
                </c:pt>
                <c:pt idx="7">
                  <c:v>-0.73314451178920126</c:v>
                </c:pt>
                <c:pt idx="8">
                  <c:v>-0.60895605928430763</c:v>
                </c:pt>
                <c:pt idx="9">
                  <c:v>-0.67493117467753239</c:v>
                </c:pt>
                <c:pt idx="10">
                  <c:v>-1.0164494190659896</c:v>
                </c:pt>
                <c:pt idx="11">
                  <c:v>-1.1600423172747729</c:v>
                </c:pt>
                <c:pt idx="12">
                  <c:v>-1.1561614281339949</c:v>
                </c:pt>
                <c:pt idx="13">
                  <c:v>-1.0436156430514352</c:v>
                </c:pt>
                <c:pt idx="14">
                  <c:v>-1.1386974270004944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-0.87091607628681755</c:v>
                </c:pt>
                <c:pt idx="1">
                  <c:v>-0.3450555977114087</c:v>
                </c:pt>
                <c:pt idx="2">
                  <c:v>-9.667869270162166E-2</c:v>
                </c:pt>
                <c:pt idx="3">
                  <c:v>-0.68075250838869927</c:v>
                </c:pt>
                <c:pt idx="4">
                  <c:v>-0.91360585683537476</c:v>
                </c:pt>
                <c:pt idx="5">
                  <c:v>-0.55268316674302764</c:v>
                </c:pt>
                <c:pt idx="6">
                  <c:v>-1.0824245344592145</c:v>
                </c:pt>
                <c:pt idx="7">
                  <c:v>-0.31982981829635215</c:v>
                </c:pt>
                <c:pt idx="8">
                  <c:v>-0.64970539526247584</c:v>
                </c:pt>
                <c:pt idx="9">
                  <c:v>-0.53521916560952709</c:v>
                </c:pt>
                <c:pt idx="10">
                  <c:v>-0.8922609665610961</c:v>
                </c:pt>
                <c:pt idx="11">
                  <c:v>-0.67493117467753239</c:v>
                </c:pt>
                <c:pt idx="12">
                  <c:v>-0.59343250272119596</c:v>
                </c:pt>
                <c:pt idx="13">
                  <c:v>-1.1561614281339949</c:v>
                </c:pt>
                <c:pt idx="14">
                  <c:v>-1.1173525367262158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-0.11026180469434421</c:v>
                </c:pt>
                <c:pt idx="1">
                  <c:v>0.27394622024267035</c:v>
                </c:pt>
                <c:pt idx="2">
                  <c:v>0.16722176887127738</c:v>
                </c:pt>
                <c:pt idx="3">
                  <c:v>7.2139984922218181E-2</c:v>
                </c:pt>
                <c:pt idx="4">
                  <c:v>0.37290889333250732</c:v>
                </c:pt>
                <c:pt idx="5">
                  <c:v>-0.42849471423813412</c:v>
                </c:pt>
                <c:pt idx="6">
                  <c:v>-0.75448940206347981</c:v>
                </c:pt>
                <c:pt idx="7">
                  <c:v>-8.1155136138509887E-2</c:v>
                </c:pt>
                <c:pt idx="8">
                  <c:v>5.6616428359106408E-2</c:v>
                </c:pt>
                <c:pt idx="9">
                  <c:v>-0.10638091555356644</c:v>
                </c:pt>
                <c:pt idx="10">
                  <c:v>9.3484875196496731E-2</c:v>
                </c:pt>
                <c:pt idx="11">
                  <c:v>-0.28684226059973983</c:v>
                </c:pt>
                <c:pt idx="12">
                  <c:v>-0.10832136012395543</c:v>
                </c:pt>
                <c:pt idx="13">
                  <c:v>-0.26937825946623928</c:v>
                </c:pt>
                <c:pt idx="14">
                  <c:v>-0.4381969370900789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-0.81270273917514868</c:v>
                </c:pt>
                <c:pt idx="1">
                  <c:v>-0.50805294162408154</c:v>
                </c:pt>
                <c:pt idx="2">
                  <c:v>-0.20340314407301441</c:v>
                </c:pt>
                <c:pt idx="3">
                  <c:v>-0.54298094389108287</c:v>
                </c:pt>
                <c:pt idx="4">
                  <c:v>-0.84180940773098312</c:v>
                </c:pt>
                <c:pt idx="5">
                  <c:v>-1.0028663070732668</c:v>
                </c:pt>
                <c:pt idx="6">
                  <c:v>-0.95241474824315397</c:v>
                </c:pt>
                <c:pt idx="7">
                  <c:v>-0.73314451178920126</c:v>
                </c:pt>
                <c:pt idx="8">
                  <c:v>-0.60895605928430763</c:v>
                </c:pt>
                <c:pt idx="9">
                  <c:v>-0.67493117467753239</c:v>
                </c:pt>
                <c:pt idx="10">
                  <c:v>-1.0164494190659896</c:v>
                </c:pt>
                <c:pt idx="11">
                  <c:v>-1.1600423172747729</c:v>
                </c:pt>
                <c:pt idx="12">
                  <c:v>-1.1561614281339949</c:v>
                </c:pt>
                <c:pt idx="13">
                  <c:v>-1.0436156430514352</c:v>
                </c:pt>
                <c:pt idx="14">
                  <c:v>-1.1386974270004944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-0.87091607628681755</c:v>
                </c:pt>
                <c:pt idx="1">
                  <c:v>-0.3450555977114087</c:v>
                </c:pt>
                <c:pt idx="2">
                  <c:v>-9.667869270162166E-2</c:v>
                </c:pt>
                <c:pt idx="3">
                  <c:v>-0.68075250838869927</c:v>
                </c:pt>
                <c:pt idx="4">
                  <c:v>-0.91360585683537476</c:v>
                </c:pt>
                <c:pt idx="5">
                  <c:v>-0.55268316674302764</c:v>
                </c:pt>
                <c:pt idx="6">
                  <c:v>-1.0824245344592145</c:v>
                </c:pt>
                <c:pt idx="7">
                  <c:v>-0.31982981829635215</c:v>
                </c:pt>
                <c:pt idx="8">
                  <c:v>-0.64970539526247584</c:v>
                </c:pt>
                <c:pt idx="9">
                  <c:v>-0.53521916560952709</c:v>
                </c:pt>
                <c:pt idx="10">
                  <c:v>-0.8922609665610961</c:v>
                </c:pt>
                <c:pt idx="11">
                  <c:v>-0.67493117467753239</c:v>
                </c:pt>
                <c:pt idx="12">
                  <c:v>-0.59343250272119596</c:v>
                </c:pt>
                <c:pt idx="13">
                  <c:v>-1.1561614281339949</c:v>
                </c:pt>
                <c:pt idx="14">
                  <c:v>-1.1173525367262158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389.85857553807961</c:v>
                  </c:pt>
                  <c:pt idx="1">
                    <c:v>582.69529112676628</c:v>
                  </c:pt>
                  <c:pt idx="2">
                    <c:v>900.34878863591916</c:v>
                  </c:pt>
                  <c:pt idx="3">
                    <c:v>572.47150223078893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389.85857553807961</c:v>
                  </c:pt>
                  <c:pt idx="1">
                    <c:v>582.69529112676628</c:v>
                  </c:pt>
                  <c:pt idx="2">
                    <c:v>900.34878863591916</c:v>
                  </c:pt>
                  <c:pt idx="3">
                    <c:v>572.47150223078893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2700.102100660195</c:v>
                </c:pt>
                <c:pt idx="1">
                  <c:v>6808.1628208470429</c:v>
                </c:pt>
                <c:pt idx="2">
                  <c:v>8195.6361789011571</c:v>
                </c:pt>
                <c:pt idx="3">
                  <c:v>10465.700372483863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627.50320063394292</c:v>
                  </c:pt>
                  <c:pt idx="1">
                    <c:v>737.77626844207043</c:v>
                  </c:pt>
                  <c:pt idx="2">
                    <c:v>1032.8128434183832</c:v>
                  </c:pt>
                  <c:pt idx="3">
                    <c:v>952.76212514830092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627.50320063394292</c:v>
                  </c:pt>
                  <c:pt idx="1">
                    <c:v>737.77626844207043</c:v>
                  </c:pt>
                  <c:pt idx="2">
                    <c:v>1032.8128434183832</c:v>
                  </c:pt>
                  <c:pt idx="3">
                    <c:v>952.76212514830092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4372.2080433276897</c:v>
                </c:pt>
                <c:pt idx="1">
                  <c:v>7163.8772117306344</c:v>
                </c:pt>
                <c:pt idx="2">
                  <c:v>8220.2015497156481</c:v>
                </c:pt>
                <c:pt idx="3">
                  <c:v>13454.347868109133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923.8643178289783</c:v>
                  </c:pt>
                  <c:pt idx="1">
                    <c:v>1159.5969036347735</c:v>
                  </c:pt>
                  <c:pt idx="2">
                    <c:v>2172.5091619238756</c:v>
                  </c:pt>
                  <c:pt idx="3">
                    <c:v>2666.0827884125406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923.8643178289783</c:v>
                  </c:pt>
                  <c:pt idx="1">
                    <c:v>1159.5969036347735</c:v>
                  </c:pt>
                  <c:pt idx="2">
                    <c:v>2172.5091619238756</c:v>
                  </c:pt>
                  <c:pt idx="3">
                    <c:v>2666.0827884125406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4007.4051884626811</c:v>
                </c:pt>
                <c:pt idx="1">
                  <c:v>10008.847690114775</c:v>
                </c:pt>
                <c:pt idx="2">
                  <c:v>11724.421830097452</c:v>
                </c:pt>
                <c:pt idx="3">
                  <c:v>15199.493668084393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2130.6574657432629</c:v>
                </c:pt>
                <c:pt idx="1">
                  <c:v>5091.4663506526922</c:v>
                </c:pt>
                <c:pt idx="2">
                  <c:v>6499.2005815495486</c:v>
                </c:pt>
                <c:pt idx="3">
                  <c:v>10675.393977784523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3483.6010892897343</c:v>
                </c:pt>
                <c:pt idx="1">
                  <c:v>8074.8423764531981</c:v>
                </c:pt>
                <c:pt idx="2">
                  <c:v>9529.3180445665912</c:v>
                </c:pt>
                <c:pt idx="3">
                  <c:v>11303.69800189321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3608.4234946932042</c:v>
                </c:pt>
                <c:pt idx="1">
                  <c:v>8094.8246756873159</c:v>
                </c:pt>
                <c:pt idx="2">
                  <c:v>5757.4179908117185</c:v>
                </c:pt>
                <c:pt idx="3">
                  <c:v>3250.7778386959667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2707.5726948376691</c:v>
                </c:pt>
                <c:pt idx="1">
                  <c:v>6048.0318722333795</c:v>
                </c:pt>
                <c:pt idx="2">
                  <c:v>8677.3381628781426</c:v>
                </c:pt>
                <c:pt idx="3">
                  <c:v>12020.783970789409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1570.2557587371057</c:v>
                </c:pt>
                <c:pt idx="1">
                  <c:v>6731.6488292086287</c:v>
                </c:pt>
                <c:pt idx="2">
                  <c:v>10514.906114699781</c:v>
                </c:pt>
                <c:pt idx="3">
                  <c:v>9127.180968960949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4999.4299161105628</c:v>
                </c:pt>
                <c:pt idx="1">
                  <c:v>8271.8930256700696</c:v>
                </c:pt>
                <c:pt idx="2">
                  <c:v>7990.4265372624177</c:v>
                </c:pt>
                <c:pt idx="3">
                  <c:v>15263.688813318289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6477.6245198430042</c:v>
                </c:pt>
                <c:pt idx="1">
                  <c:v>8760.053095900872</c:v>
                </c:pt>
                <c:pt idx="2">
                  <c:v>12168.695842600131</c:v>
                </c:pt>
                <c:pt idx="3">
                  <c:v>12812.388379993003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3250.7778386959667</c:v>
                </c:pt>
                <c:pt idx="1">
                  <c:v>6820.4709528819985</c:v>
                </c:pt>
                <c:pt idx="2">
                  <c:v>7318.2337768332181</c:v>
                </c:pt>
                <c:pt idx="3">
                  <c:v>15944.962001951733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4063.3020544703982</c:v>
                </c:pt>
                <c:pt idx="1">
                  <c:v>7433.6945018314273</c:v>
                </c:pt>
                <c:pt idx="2">
                  <c:v>7486.3824141551668</c:v>
                </c:pt>
                <c:pt idx="3">
                  <c:v>10737.751608638444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3069.9058875185133</c:v>
                </c:pt>
                <c:pt idx="1">
                  <c:v>4533.2744823688063</c:v>
                </c:pt>
                <c:pt idx="2">
                  <c:v>6137.2691777272994</c:v>
                </c:pt>
                <c:pt idx="3">
                  <c:v>12512.948536644208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2246.1851555512385</c:v>
                </c:pt>
                <c:pt idx="1">
                  <c:v>9192.9136262270677</c:v>
                </c:pt>
                <c:pt idx="2">
                  <c:v>8915.8668152639584</c:v>
                </c:pt>
                <c:pt idx="3">
                  <c:v>18572.768280857741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6357.0878622645469</c:v>
                </c:pt>
                <c:pt idx="1">
                  <c:v>12613.154677977765</c:v>
                </c:pt>
                <c:pt idx="2">
                  <c:v>11190.098898606491</c:v>
                </c:pt>
                <c:pt idx="3">
                  <c:v>7163.7459607034943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3870.6309038122095</c:v>
                </c:pt>
                <c:pt idx="1">
                  <c:v>12026.770624782474</c:v>
                </c:pt>
                <c:pt idx="2">
                  <c:v>9159.9669398222886</c:v>
                </c:pt>
                <c:pt idx="3">
                  <c:v>20633.945125449372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1741.1097743735932</c:v>
                </c:pt>
                <c:pt idx="1">
                  <c:v>6089.6170190979483</c:v>
                </c:pt>
                <c:pt idx="2">
                  <c:v>9101.4530890489241</c:v>
                </c:pt>
                <c:pt idx="3">
                  <c:v>10548.73673659347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5822.0122463118187</c:v>
                </c:pt>
                <c:pt idx="1">
                  <c:v>10121.782502488617</c:v>
                </c:pt>
                <c:pt idx="2">
                  <c:v>20254.723407745591</c:v>
                </c:pt>
                <c:pt idx="3">
                  <c:v>19078.272236817887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2130.6574657432629</c:v>
                </c:pt>
                <c:pt idx="1">
                  <c:v>3483.6010892897343</c:v>
                </c:pt>
                <c:pt idx="2">
                  <c:v>3608.4234946932042</c:v>
                </c:pt>
                <c:pt idx="3">
                  <c:v>2707.5726948376691</c:v>
                </c:pt>
                <c:pt idx="4">
                  <c:v>1570.2557587371057</c:v>
                </c:pt>
                <c:pt idx="5">
                  <c:v>4999.4299161105628</c:v>
                </c:pt>
                <c:pt idx="6">
                  <c:v>6477.6245198430042</c:v>
                </c:pt>
                <c:pt idx="7">
                  <c:v>3250.7778386959667</c:v>
                </c:pt>
                <c:pt idx="8">
                  <c:v>4063.3020544703982</c:v>
                </c:pt>
                <c:pt idx="9">
                  <c:v>3069.9058875185133</c:v>
                </c:pt>
                <c:pt idx="10">
                  <c:v>2246.1851555512385</c:v>
                </c:pt>
                <c:pt idx="11">
                  <c:v>6357.0878622645469</c:v>
                </c:pt>
                <c:pt idx="12">
                  <c:v>3870.6309038122095</c:v>
                </c:pt>
                <c:pt idx="13">
                  <c:v>1741.1097743735932</c:v>
                </c:pt>
                <c:pt idx="14">
                  <c:v>5822.0122463118187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5091.4663506526922</c:v>
                </c:pt>
                <c:pt idx="1">
                  <c:v>8074.8423764531981</c:v>
                </c:pt>
                <c:pt idx="2">
                  <c:v>8094.8246756873159</c:v>
                </c:pt>
                <c:pt idx="3">
                  <c:v>6048.0318722333795</c:v>
                </c:pt>
                <c:pt idx="4">
                  <c:v>6731.6488292086287</c:v>
                </c:pt>
                <c:pt idx="5">
                  <c:v>8271.8930256700696</c:v>
                </c:pt>
                <c:pt idx="6">
                  <c:v>8760.053095900872</c:v>
                </c:pt>
                <c:pt idx="7">
                  <c:v>6820.4709528819985</c:v>
                </c:pt>
                <c:pt idx="8">
                  <c:v>7433.6945018314273</c:v>
                </c:pt>
                <c:pt idx="9">
                  <c:v>4533.2744823688063</c:v>
                </c:pt>
                <c:pt idx="10">
                  <c:v>9192.9136262270677</c:v>
                </c:pt>
                <c:pt idx="11">
                  <c:v>12613.154677977765</c:v>
                </c:pt>
                <c:pt idx="12">
                  <c:v>12026.770624782474</c:v>
                </c:pt>
                <c:pt idx="13">
                  <c:v>6089.6170190979483</c:v>
                </c:pt>
                <c:pt idx="14">
                  <c:v>10121.782502488617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6499.2005815495486</c:v>
                </c:pt>
                <c:pt idx="1">
                  <c:v>9529.3180445665912</c:v>
                </c:pt>
                <c:pt idx="2">
                  <c:v>5757.4179908117185</c:v>
                </c:pt>
                <c:pt idx="3">
                  <c:v>8677.3381628781426</c:v>
                </c:pt>
                <c:pt idx="4">
                  <c:v>10514.906114699781</c:v>
                </c:pt>
                <c:pt idx="5">
                  <c:v>7990.4265372624177</c:v>
                </c:pt>
                <c:pt idx="6">
                  <c:v>12168.695842600131</c:v>
                </c:pt>
                <c:pt idx="7">
                  <c:v>7318.2337768332181</c:v>
                </c:pt>
                <c:pt idx="8">
                  <c:v>7486.3824141551668</c:v>
                </c:pt>
                <c:pt idx="9">
                  <c:v>6137.2691777272994</c:v>
                </c:pt>
                <c:pt idx="10">
                  <c:v>8915.8668152639584</c:v>
                </c:pt>
                <c:pt idx="11">
                  <c:v>11190.098898606491</c:v>
                </c:pt>
                <c:pt idx="12">
                  <c:v>9159.9669398222886</c:v>
                </c:pt>
                <c:pt idx="13">
                  <c:v>9101.4530890489241</c:v>
                </c:pt>
                <c:pt idx="14">
                  <c:v>20254.723407745591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2130.6574657432629</c:v>
                </c:pt>
                <c:pt idx="1">
                  <c:v>3483.6010892897343</c:v>
                </c:pt>
                <c:pt idx="2">
                  <c:v>3608.4234946932042</c:v>
                </c:pt>
                <c:pt idx="3">
                  <c:v>2707.5726948376691</c:v>
                </c:pt>
                <c:pt idx="4">
                  <c:v>1570.2557587371057</c:v>
                </c:pt>
                <c:pt idx="5">
                  <c:v>4999.4299161105628</c:v>
                </c:pt>
                <c:pt idx="6">
                  <c:v>6477.6245198430042</c:v>
                </c:pt>
                <c:pt idx="7">
                  <c:v>3250.7778386959667</c:v>
                </c:pt>
                <c:pt idx="8">
                  <c:v>4063.3020544703982</c:v>
                </c:pt>
                <c:pt idx="9">
                  <c:v>3069.9058875185133</c:v>
                </c:pt>
                <c:pt idx="10">
                  <c:v>2246.1851555512385</c:v>
                </c:pt>
                <c:pt idx="11">
                  <c:v>6357.0878622645469</c:v>
                </c:pt>
                <c:pt idx="12">
                  <c:v>3870.6309038122095</c:v>
                </c:pt>
                <c:pt idx="13">
                  <c:v>1741.1097743735932</c:v>
                </c:pt>
                <c:pt idx="14">
                  <c:v>5822.0122463118187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5091.4663506526922</c:v>
                </c:pt>
                <c:pt idx="1">
                  <c:v>8074.8423764531981</c:v>
                </c:pt>
                <c:pt idx="2">
                  <c:v>8094.8246756873159</c:v>
                </c:pt>
                <c:pt idx="3">
                  <c:v>6048.0318722333795</c:v>
                </c:pt>
                <c:pt idx="4">
                  <c:v>6731.6488292086287</c:v>
                </c:pt>
                <c:pt idx="5">
                  <c:v>8271.8930256700696</c:v>
                </c:pt>
                <c:pt idx="6">
                  <c:v>8760.053095900872</c:v>
                </c:pt>
                <c:pt idx="7">
                  <c:v>6820.4709528819985</c:v>
                </c:pt>
                <c:pt idx="8">
                  <c:v>7433.6945018314273</c:v>
                </c:pt>
                <c:pt idx="9">
                  <c:v>4533.2744823688063</c:v>
                </c:pt>
                <c:pt idx="10">
                  <c:v>9192.9136262270677</c:v>
                </c:pt>
                <c:pt idx="11">
                  <c:v>12613.154677977765</c:v>
                </c:pt>
                <c:pt idx="12">
                  <c:v>12026.770624782474</c:v>
                </c:pt>
                <c:pt idx="13">
                  <c:v>6089.6170190979483</c:v>
                </c:pt>
                <c:pt idx="14">
                  <c:v>10121.782502488617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6499.2005815495486</c:v>
                </c:pt>
                <c:pt idx="1">
                  <c:v>9529.3180445665912</c:v>
                </c:pt>
                <c:pt idx="2">
                  <c:v>5757.4179908117185</c:v>
                </c:pt>
                <c:pt idx="3">
                  <c:v>8677.3381628781426</c:v>
                </c:pt>
                <c:pt idx="4">
                  <c:v>10514.906114699781</c:v>
                </c:pt>
                <c:pt idx="5">
                  <c:v>7990.4265372624177</c:v>
                </c:pt>
                <c:pt idx="6">
                  <c:v>12168.695842600131</c:v>
                </c:pt>
                <c:pt idx="7">
                  <c:v>7318.2337768332181</c:v>
                </c:pt>
                <c:pt idx="8">
                  <c:v>7486.3824141551668</c:v>
                </c:pt>
                <c:pt idx="9">
                  <c:v>6137.2691777272994</c:v>
                </c:pt>
                <c:pt idx="10">
                  <c:v>8915.8668152639584</c:v>
                </c:pt>
                <c:pt idx="11">
                  <c:v>11190.098898606491</c:v>
                </c:pt>
                <c:pt idx="12">
                  <c:v>9159.9669398222886</c:v>
                </c:pt>
                <c:pt idx="13">
                  <c:v>9101.4530890489241</c:v>
                </c:pt>
                <c:pt idx="14">
                  <c:v>20254.723407745591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2130.6574657432629</c:v>
                </c:pt>
                <c:pt idx="1">
                  <c:v>3483.6010892897343</c:v>
                </c:pt>
                <c:pt idx="2">
                  <c:v>3608.4234946932042</c:v>
                </c:pt>
                <c:pt idx="3">
                  <c:v>2707.5726948376691</c:v>
                </c:pt>
                <c:pt idx="4">
                  <c:v>1570.2557587371057</c:v>
                </c:pt>
                <c:pt idx="5">
                  <c:v>4999.4299161105628</c:v>
                </c:pt>
                <c:pt idx="6">
                  <c:v>6477.6245198430042</c:v>
                </c:pt>
                <c:pt idx="7">
                  <c:v>3250.7778386959667</c:v>
                </c:pt>
                <c:pt idx="8">
                  <c:v>4063.3020544703982</c:v>
                </c:pt>
                <c:pt idx="9">
                  <c:v>3069.9058875185133</c:v>
                </c:pt>
                <c:pt idx="10">
                  <c:v>2246.1851555512385</c:v>
                </c:pt>
                <c:pt idx="11">
                  <c:v>6357.0878622645469</c:v>
                </c:pt>
                <c:pt idx="12">
                  <c:v>3870.6309038122095</c:v>
                </c:pt>
                <c:pt idx="13">
                  <c:v>1741.1097743735932</c:v>
                </c:pt>
                <c:pt idx="14">
                  <c:v>5822.0122463118187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5091.4663506526922</c:v>
                </c:pt>
                <c:pt idx="1">
                  <c:v>8074.8423764531981</c:v>
                </c:pt>
                <c:pt idx="2">
                  <c:v>8094.8246756873159</c:v>
                </c:pt>
                <c:pt idx="3">
                  <c:v>6048.0318722333795</c:v>
                </c:pt>
                <c:pt idx="4">
                  <c:v>6731.6488292086287</c:v>
                </c:pt>
                <c:pt idx="5">
                  <c:v>8271.8930256700696</c:v>
                </c:pt>
                <c:pt idx="6">
                  <c:v>8760.053095900872</c:v>
                </c:pt>
                <c:pt idx="7">
                  <c:v>6820.4709528819985</c:v>
                </c:pt>
                <c:pt idx="8">
                  <c:v>7433.6945018314273</c:v>
                </c:pt>
                <c:pt idx="9">
                  <c:v>4533.2744823688063</c:v>
                </c:pt>
                <c:pt idx="10">
                  <c:v>9192.9136262270677</c:v>
                </c:pt>
                <c:pt idx="11">
                  <c:v>12613.154677977765</c:v>
                </c:pt>
                <c:pt idx="12">
                  <c:v>12026.770624782474</c:v>
                </c:pt>
                <c:pt idx="13">
                  <c:v>6089.6170190979483</c:v>
                </c:pt>
                <c:pt idx="14">
                  <c:v>10121.782502488617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6499.2005815495486</c:v>
                </c:pt>
                <c:pt idx="1">
                  <c:v>9529.3180445665912</c:v>
                </c:pt>
                <c:pt idx="2">
                  <c:v>5757.4179908117185</c:v>
                </c:pt>
                <c:pt idx="3">
                  <c:v>8677.3381628781426</c:v>
                </c:pt>
                <c:pt idx="4">
                  <c:v>10514.906114699781</c:v>
                </c:pt>
                <c:pt idx="5">
                  <c:v>7990.4265372624177</c:v>
                </c:pt>
                <c:pt idx="6">
                  <c:v>12168.695842600131</c:v>
                </c:pt>
                <c:pt idx="7">
                  <c:v>7318.2337768332181</c:v>
                </c:pt>
                <c:pt idx="8">
                  <c:v>7486.3824141551668</c:v>
                </c:pt>
                <c:pt idx="9">
                  <c:v>6137.2691777272994</c:v>
                </c:pt>
                <c:pt idx="10">
                  <c:v>8915.8668152639584</c:v>
                </c:pt>
                <c:pt idx="11">
                  <c:v>11190.098898606491</c:v>
                </c:pt>
                <c:pt idx="12">
                  <c:v>9159.9669398222886</c:v>
                </c:pt>
                <c:pt idx="13">
                  <c:v>9101.4530890489241</c:v>
                </c:pt>
                <c:pt idx="14">
                  <c:v>20254.723407745591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600075</xdr:colOff>
      <xdr:row>9</xdr:row>
      <xdr:rowOff>11642</xdr:rowOff>
    </xdr:from>
    <xdr:to>
      <xdr:col>25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24</xdr:row>
      <xdr:rowOff>21167</xdr:rowOff>
    </xdr:from>
    <xdr:to>
      <xdr:col>25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66"/>
  <sheetViews>
    <sheetView tabSelected="1" topLeftCell="G13" zoomScale="90" zoomScaleNormal="90" workbookViewId="0">
      <selection activeCell="K19" sqref="K19"/>
    </sheetView>
  </sheetViews>
  <sheetFormatPr defaultRowHeight="16.5" x14ac:dyDescent="0.3"/>
  <cols>
    <col min="1" max="1" width="13.85546875" style="2" customWidth="1"/>
    <col min="2" max="2" width="12.42578125" style="2" bestFit="1" customWidth="1"/>
    <col min="3" max="3" width="14.5703125" style="15" customWidth="1"/>
    <col min="4" max="4" width="11.42578125" style="15" customWidth="1"/>
    <col min="5" max="5" width="8.7109375" style="15"/>
    <col min="6" max="6" width="9.28515625" style="15" customWidth="1"/>
    <col min="7" max="7" width="10.5703125" style="15" customWidth="1"/>
    <col min="8" max="10" width="8.7109375" style="15"/>
    <col min="11" max="11" width="38.7109375" style="15" customWidth="1"/>
    <col min="13" max="13" width="9.5703125" customWidth="1"/>
    <col min="15" max="15" width="9.42578125" customWidth="1"/>
    <col min="17" max="17" width="13.5703125" customWidth="1"/>
    <col min="18" max="18" width="11.5703125" customWidth="1"/>
  </cols>
  <sheetData>
    <row r="2" spans="1:29" x14ac:dyDescent="0.3">
      <c r="A2" s="3" t="s">
        <v>10</v>
      </c>
      <c r="H2" s="78"/>
    </row>
    <row r="3" spans="1:29" x14ac:dyDescent="0.3">
      <c r="A3" s="3" t="s">
        <v>11</v>
      </c>
      <c r="H3" s="78"/>
    </row>
    <row r="4" spans="1:29" x14ac:dyDescent="0.3">
      <c r="A4" s="3" t="s">
        <v>47</v>
      </c>
      <c r="B4" s="4"/>
      <c r="H4" s="78"/>
      <c r="L4" s="1"/>
    </row>
    <row r="5" spans="1:29" ht="17.25" thickBot="1" x14ac:dyDescent="0.35">
      <c r="B5" s="4"/>
      <c r="H5" s="78"/>
      <c r="L5" s="1"/>
    </row>
    <row r="6" spans="1:29" ht="50.25" thickBot="1" x14ac:dyDescent="0.3">
      <c r="A6" s="23" t="s">
        <v>4</v>
      </c>
      <c r="B6" s="24" t="s">
        <v>3</v>
      </c>
      <c r="C6" s="24" t="s">
        <v>1</v>
      </c>
      <c r="D6" s="24" t="s">
        <v>5</v>
      </c>
      <c r="E6" s="24" t="s">
        <v>2</v>
      </c>
      <c r="F6" s="24" t="s">
        <v>35</v>
      </c>
      <c r="G6" s="25" t="s">
        <v>6</v>
      </c>
      <c r="H6" s="25" t="s">
        <v>7</v>
      </c>
      <c r="I6" s="25" t="s">
        <v>8</v>
      </c>
      <c r="J6" s="26" t="s">
        <v>9</v>
      </c>
      <c r="K6" s="144" t="s">
        <v>48</v>
      </c>
      <c r="M6" s="76" t="s">
        <v>12</v>
      </c>
    </row>
    <row r="7" spans="1:29" ht="17.25" thickBot="1" x14ac:dyDescent="0.35">
      <c r="A7" s="77">
        <v>44545</v>
      </c>
      <c r="B7" s="19">
        <v>44545</v>
      </c>
      <c r="C7" s="20" t="s">
        <v>18</v>
      </c>
      <c r="D7" s="20" t="s">
        <v>19</v>
      </c>
      <c r="E7" s="20">
        <v>10</v>
      </c>
      <c r="F7" s="20">
        <v>1</v>
      </c>
      <c r="G7" s="20">
        <v>745</v>
      </c>
      <c r="H7" s="20">
        <v>259359</v>
      </c>
      <c r="I7" s="20">
        <f>(G7*$AB$14)+$AB$15</f>
        <v>-0.11026180469434421</v>
      </c>
      <c r="J7" s="21">
        <f t="shared" ref="J7:J38" si="0">(H7*$AB$29)+$AB$30</f>
        <v>2130.6574657432629</v>
      </c>
      <c r="K7" s="145"/>
      <c r="M7" s="123" t="s">
        <v>13</v>
      </c>
      <c r="N7" s="124" t="s">
        <v>14</v>
      </c>
      <c r="O7" s="124" t="s">
        <v>0</v>
      </c>
      <c r="P7" s="125" t="s">
        <v>26</v>
      </c>
      <c r="Q7" s="126" t="s">
        <v>27</v>
      </c>
    </row>
    <row r="8" spans="1:29" x14ac:dyDescent="0.3">
      <c r="A8" s="85">
        <v>44545</v>
      </c>
      <c r="B8" s="13">
        <v>44545</v>
      </c>
      <c r="C8" s="16" t="s">
        <v>18</v>
      </c>
      <c r="D8" s="16" t="s">
        <v>19</v>
      </c>
      <c r="E8" s="16">
        <v>20</v>
      </c>
      <c r="F8" s="16">
        <v>2</v>
      </c>
      <c r="G8" s="16">
        <v>383</v>
      </c>
      <c r="H8" s="16">
        <v>480431</v>
      </c>
      <c r="I8" s="16">
        <f t="shared" ref="I8:I66" si="1">(G8*$AB$14)+$AB$15</f>
        <v>-0.81270273917514868</v>
      </c>
      <c r="J8" s="17">
        <f t="shared" si="0"/>
        <v>5091.4663506526922</v>
      </c>
      <c r="K8" s="145"/>
      <c r="M8" s="121" t="s">
        <v>28</v>
      </c>
      <c r="N8" s="53">
        <v>7.5</v>
      </c>
      <c r="O8" s="53">
        <v>3826</v>
      </c>
      <c r="P8" s="54">
        <f>AVERAGE(N8:N10)</f>
        <v>7.5</v>
      </c>
      <c r="Q8" s="55">
        <f>AVERAGE(O8:O10)</f>
        <v>4417</v>
      </c>
    </row>
    <row r="9" spans="1:29" x14ac:dyDescent="0.3">
      <c r="A9" s="85">
        <v>44545</v>
      </c>
      <c r="B9" s="13">
        <v>44545</v>
      </c>
      <c r="C9" s="16" t="s">
        <v>18</v>
      </c>
      <c r="D9" s="16" t="s">
        <v>19</v>
      </c>
      <c r="E9" s="16">
        <v>35</v>
      </c>
      <c r="F9" s="16">
        <v>3</v>
      </c>
      <c r="G9" s="16">
        <v>353</v>
      </c>
      <c r="H9" s="16">
        <v>585541</v>
      </c>
      <c r="I9" s="16">
        <f t="shared" si="1"/>
        <v>-0.87091607628681755</v>
      </c>
      <c r="J9" s="17">
        <f t="shared" si="0"/>
        <v>6499.2005815495486</v>
      </c>
      <c r="K9" s="145"/>
      <c r="M9" s="122" t="s">
        <v>28</v>
      </c>
      <c r="N9" s="56">
        <v>7.5</v>
      </c>
      <c r="O9" s="56">
        <v>5226</v>
      </c>
      <c r="P9" s="57"/>
      <c r="Q9" s="58"/>
      <c r="AC9" s="2"/>
    </row>
    <row r="10" spans="1:29" ht="17.25" thickBot="1" x14ac:dyDescent="0.35">
      <c r="A10" s="85">
        <v>44545</v>
      </c>
      <c r="B10" s="13">
        <v>44545</v>
      </c>
      <c r="C10" s="16" t="s">
        <v>18</v>
      </c>
      <c r="D10" s="16" t="s">
        <v>19</v>
      </c>
      <c r="E10" s="16">
        <v>50</v>
      </c>
      <c r="F10" s="16">
        <v>4</v>
      </c>
      <c r="G10" s="16">
        <v>323</v>
      </c>
      <c r="H10" s="16">
        <v>897361</v>
      </c>
      <c r="I10" s="16">
        <f t="shared" si="1"/>
        <v>-0.92912941339848643</v>
      </c>
      <c r="J10" s="17">
        <f t="shared" si="0"/>
        <v>10675.393977784523</v>
      </c>
      <c r="K10" s="145"/>
      <c r="M10" s="127" t="s">
        <v>28</v>
      </c>
      <c r="N10" s="65">
        <v>7.5</v>
      </c>
      <c r="O10" s="59">
        <v>4199</v>
      </c>
      <c r="P10" s="59"/>
      <c r="Q10" s="60"/>
      <c r="AC10" s="2"/>
    </row>
    <row r="11" spans="1:29" x14ac:dyDescent="0.3">
      <c r="A11" s="86">
        <v>44545</v>
      </c>
      <c r="B11" s="28">
        <v>44545</v>
      </c>
      <c r="C11" s="29" t="s">
        <v>18</v>
      </c>
      <c r="D11" s="29" t="s">
        <v>20</v>
      </c>
      <c r="E11" s="29">
        <v>10</v>
      </c>
      <c r="F11" s="29">
        <v>5</v>
      </c>
      <c r="G11" s="29">
        <v>943</v>
      </c>
      <c r="H11" s="29">
        <v>360378</v>
      </c>
      <c r="I11" s="29">
        <f t="shared" si="1"/>
        <v>0.27394622024267035</v>
      </c>
      <c r="J11" s="30">
        <f t="shared" si="0"/>
        <v>3483.6010892897343</v>
      </c>
      <c r="K11" s="146"/>
      <c r="M11" s="64" t="s">
        <v>29</v>
      </c>
      <c r="N11" s="53">
        <v>5</v>
      </c>
      <c r="O11" s="53">
        <v>3427</v>
      </c>
      <c r="P11" s="54">
        <f>AVERAGE(N11:N13)</f>
        <v>5</v>
      </c>
      <c r="Q11" s="55">
        <f>AVERAGE(O11:O13)</f>
        <v>3580</v>
      </c>
      <c r="AC11" s="2"/>
    </row>
    <row r="12" spans="1:29" x14ac:dyDescent="0.3">
      <c r="A12" s="87">
        <v>44545</v>
      </c>
      <c r="B12" s="31">
        <v>44545</v>
      </c>
      <c r="C12" s="32" t="s">
        <v>18</v>
      </c>
      <c r="D12" s="32" t="s">
        <v>20</v>
      </c>
      <c r="E12" s="32">
        <v>20</v>
      </c>
      <c r="F12" s="32">
        <v>6</v>
      </c>
      <c r="G12" s="32">
        <v>540</v>
      </c>
      <c r="H12" s="32">
        <v>703188</v>
      </c>
      <c r="I12" s="32">
        <f t="shared" si="1"/>
        <v>-0.50805294162408154</v>
      </c>
      <c r="J12" s="33">
        <f t="shared" si="0"/>
        <v>8074.8423764531981</v>
      </c>
      <c r="K12" s="146"/>
      <c r="M12" s="9" t="s">
        <v>29</v>
      </c>
      <c r="N12" s="56">
        <v>5</v>
      </c>
      <c r="O12" s="56">
        <v>3784</v>
      </c>
      <c r="P12" s="57"/>
      <c r="Q12" s="58"/>
      <c r="AC12" s="2"/>
    </row>
    <row r="13" spans="1:29" ht="17.25" thickBot="1" x14ac:dyDescent="0.35">
      <c r="A13" s="87">
        <v>44545</v>
      </c>
      <c r="B13" s="31">
        <v>44545</v>
      </c>
      <c r="C13" s="32" t="s">
        <v>18</v>
      </c>
      <c r="D13" s="32" t="s">
        <v>20</v>
      </c>
      <c r="E13" s="32">
        <v>35</v>
      </c>
      <c r="F13" s="32">
        <v>7</v>
      </c>
      <c r="G13" s="32">
        <v>624</v>
      </c>
      <c r="H13" s="32">
        <v>811788</v>
      </c>
      <c r="I13" s="32">
        <f t="shared" si="1"/>
        <v>-0.3450555977114087</v>
      </c>
      <c r="J13" s="33">
        <f t="shared" si="0"/>
        <v>9529.3180445665912</v>
      </c>
      <c r="K13" s="146"/>
      <c r="M13" s="11" t="s">
        <v>29</v>
      </c>
      <c r="N13" s="65">
        <v>5</v>
      </c>
      <c r="O13" s="65">
        <v>3529</v>
      </c>
      <c r="P13" s="59"/>
      <c r="Q13" s="60"/>
      <c r="AC13" s="2"/>
    </row>
    <row r="14" spans="1:29" ht="17.25" thickBot="1" x14ac:dyDescent="0.35">
      <c r="A14" s="87">
        <v>44545</v>
      </c>
      <c r="B14" s="31">
        <v>44545</v>
      </c>
      <c r="C14" s="32" t="s">
        <v>18</v>
      </c>
      <c r="D14" s="32" t="s">
        <v>20</v>
      </c>
      <c r="E14" s="32">
        <v>50</v>
      </c>
      <c r="F14" s="32">
        <v>8</v>
      </c>
      <c r="G14" s="32">
        <v>517</v>
      </c>
      <c r="H14" s="32">
        <v>944274</v>
      </c>
      <c r="I14" s="32">
        <f t="shared" si="1"/>
        <v>-0.55268316674302764</v>
      </c>
      <c r="J14" s="33">
        <f t="shared" si="0"/>
        <v>11303.69800189321</v>
      </c>
      <c r="K14" s="146"/>
      <c r="M14" s="64" t="s">
        <v>30</v>
      </c>
      <c r="N14" s="53">
        <v>3</v>
      </c>
      <c r="O14" s="53">
        <v>2375</v>
      </c>
      <c r="P14" s="54">
        <f>AVERAGE(N14:N16)</f>
        <v>3</v>
      </c>
      <c r="Q14" s="55">
        <f>AVERAGE(O14:O16)</f>
        <v>2521.6666666666665</v>
      </c>
      <c r="AA14" s="3" t="s">
        <v>15</v>
      </c>
      <c r="AB14" s="2">
        <f>SLOPE(P8:P22,Q8:Q22)</f>
        <v>1.9404445703889623E-3</v>
      </c>
      <c r="AC14" s="2"/>
    </row>
    <row r="15" spans="1:29" x14ac:dyDescent="0.3">
      <c r="A15" s="77">
        <v>44545</v>
      </c>
      <c r="B15" s="19">
        <v>44545</v>
      </c>
      <c r="C15" s="20" t="s">
        <v>18</v>
      </c>
      <c r="D15" s="20" t="s">
        <v>21</v>
      </c>
      <c r="E15" s="20">
        <v>10</v>
      </c>
      <c r="F15" s="20">
        <v>9</v>
      </c>
      <c r="G15" s="20">
        <v>888</v>
      </c>
      <c r="H15" s="20">
        <v>369698</v>
      </c>
      <c r="I15" s="20">
        <f t="shared" si="1"/>
        <v>0.16722176887127738</v>
      </c>
      <c r="J15" s="21">
        <f t="shared" si="0"/>
        <v>3608.4234946932042</v>
      </c>
      <c r="K15" s="145"/>
      <c r="M15" s="9" t="s">
        <v>30</v>
      </c>
      <c r="N15" s="56">
        <v>3</v>
      </c>
      <c r="O15" s="56">
        <v>2636</v>
      </c>
      <c r="P15" s="57"/>
      <c r="Q15" s="58"/>
      <c r="AA15" s="3" t="s">
        <v>16</v>
      </c>
      <c r="AB15" s="2">
        <f>INTERCEPT(P8:P22,Q8:Q22)</f>
        <v>-1.5558930096341212</v>
      </c>
      <c r="AC15" s="2"/>
    </row>
    <row r="16" spans="1:29" ht="17.25" thickBot="1" x14ac:dyDescent="0.35">
      <c r="A16" s="85">
        <v>44545</v>
      </c>
      <c r="B16" s="13">
        <v>44545</v>
      </c>
      <c r="C16" s="16" t="s">
        <v>18</v>
      </c>
      <c r="D16" s="16" t="s">
        <v>21</v>
      </c>
      <c r="E16" s="16">
        <v>20</v>
      </c>
      <c r="F16" s="16">
        <v>10</v>
      </c>
      <c r="G16" s="16">
        <v>697</v>
      </c>
      <c r="H16" s="16">
        <v>704680</v>
      </c>
      <c r="I16" s="16">
        <f t="shared" si="1"/>
        <v>-0.20340314407301441</v>
      </c>
      <c r="J16" s="17">
        <f t="shared" si="0"/>
        <v>8094.8246756873159</v>
      </c>
      <c r="K16" s="145"/>
      <c r="M16" s="11" t="s">
        <v>30</v>
      </c>
      <c r="N16" s="65">
        <v>3</v>
      </c>
      <c r="O16" s="65">
        <v>2554</v>
      </c>
      <c r="P16" s="59"/>
      <c r="Q16" s="60"/>
      <c r="AA16" s="3" t="s">
        <v>17</v>
      </c>
      <c r="AB16" s="2">
        <f>RSQ(P8:P22,Q8:Q22)</f>
        <v>0.9790415544323865</v>
      </c>
      <c r="AC16" s="2"/>
    </row>
    <row r="17" spans="1:29" x14ac:dyDescent="0.3">
      <c r="A17" s="85">
        <v>44545</v>
      </c>
      <c r="B17" s="13">
        <v>44545</v>
      </c>
      <c r="C17" s="16" t="s">
        <v>18</v>
      </c>
      <c r="D17" s="16" t="s">
        <v>21</v>
      </c>
      <c r="E17" s="16">
        <v>35</v>
      </c>
      <c r="F17" s="16">
        <v>11</v>
      </c>
      <c r="G17" s="16">
        <v>752</v>
      </c>
      <c r="H17" s="16">
        <v>530155</v>
      </c>
      <c r="I17" s="16">
        <f t="shared" si="1"/>
        <v>-9.667869270162166E-2</v>
      </c>
      <c r="J17" s="17">
        <f t="shared" si="0"/>
        <v>5757.4179908117185</v>
      </c>
      <c r="K17" s="145"/>
      <c r="M17" s="64" t="s">
        <v>31</v>
      </c>
      <c r="N17" s="53">
        <v>1.5</v>
      </c>
      <c r="O17" s="53">
        <v>1487</v>
      </c>
      <c r="P17" s="54">
        <f>AVERAGE(N17:N19)</f>
        <v>1.5</v>
      </c>
      <c r="Q17" s="55">
        <f>AVERAGE(O17:O19)</f>
        <v>1643</v>
      </c>
      <c r="AA17" s="2"/>
      <c r="AB17" s="2"/>
      <c r="AC17" s="2"/>
    </row>
    <row r="18" spans="1:29" ht="17.25" thickBot="1" x14ac:dyDescent="0.35">
      <c r="A18" s="88">
        <v>44545</v>
      </c>
      <c r="B18" s="34">
        <v>44545</v>
      </c>
      <c r="C18" s="35" t="s">
        <v>18</v>
      </c>
      <c r="D18" s="35" t="s">
        <v>21</v>
      </c>
      <c r="E18" s="35">
        <v>50</v>
      </c>
      <c r="F18" s="35">
        <v>12</v>
      </c>
      <c r="G18" s="35">
        <v>648</v>
      </c>
      <c r="H18" s="35">
        <v>787307</v>
      </c>
      <c r="I18" s="35">
        <f t="shared" si="1"/>
        <v>-0.2984849280220736</v>
      </c>
      <c r="J18" s="36">
        <f t="shared" si="0"/>
        <v>9201.4449429912311</v>
      </c>
      <c r="K18" s="145"/>
      <c r="M18" s="9" t="s">
        <v>31</v>
      </c>
      <c r="N18" s="56">
        <v>1.5</v>
      </c>
      <c r="O18" s="56">
        <v>1648</v>
      </c>
      <c r="P18" s="57"/>
      <c r="Q18" s="58"/>
      <c r="AA18" s="2"/>
      <c r="AB18" s="2"/>
      <c r="AC18" s="2"/>
    </row>
    <row r="19" spans="1:29" ht="17.25" thickBot="1" x14ac:dyDescent="0.35">
      <c r="A19" s="77">
        <v>44545</v>
      </c>
      <c r="B19" s="19">
        <v>44545</v>
      </c>
      <c r="C19" s="20" t="s">
        <v>18</v>
      </c>
      <c r="D19" s="20" t="s">
        <v>22</v>
      </c>
      <c r="E19" s="20">
        <v>10</v>
      </c>
      <c r="F19" s="20">
        <v>13</v>
      </c>
      <c r="G19" s="20">
        <v>839</v>
      </c>
      <c r="H19" s="20">
        <v>302435</v>
      </c>
      <c r="I19" s="20">
        <f t="shared" si="1"/>
        <v>7.2139984922218181E-2</v>
      </c>
      <c r="J19" s="21">
        <f t="shared" si="0"/>
        <v>2707.5726948376691</v>
      </c>
      <c r="K19" s="145"/>
      <c r="M19" s="11" t="s">
        <v>31</v>
      </c>
      <c r="N19" s="65">
        <v>1.5</v>
      </c>
      <c r="O19" s="65">
        <v>1794</v>
      </c>
      <c r="P19" s="59"/>
      <c r="Q19" s="60"/>
      <c r="AA19" s="2"/>
      <c r="AB19" s="2"/>
      <c r="AC19" s="2"/>
    </row>
    <row r="20" spans="1:29" x14ac:dyDescent="0.3">
      <c r="A20" s="85">
        <v>44545</v>
      </c>
      <c r="B20" s="13">
        <v>44545</v>
      </c>
      <c r="C20" s="16" t="s">
        <v>18</v>
      </c>
      <c r="D20" s="16" t="s">
        <v>22</v>
      </c>
      <c r="E20" s="16">
        <v>20</v>
      </c>
      <c r="F20" s="16">
        <v>14</v>
      </c>
      <c r="G20" s="16">
        <v>522</v>
      </c>
      <c r="H20" s="16">
        <v>551854</v>
      </c>
      <c r="I20" s="16">
        <f t="shared" si="1"/>
        <v>-0.54298094389108287</v>
      </c>
      <c r="J20" s="17">
        <f t="shared" si="0"/>
        <v>6048.0318722333795</v>
      </c>
      <c r="K20" s="145"/>
      <c r="M20" s="7" t="s">
        <v>32</v>
      </c>
      <c r="N20" s="61">
        <v>0.5</v>
      </c>
      <c r="O20" s="61">
        <v>784</v>
      </c>
      <c r="P20" s="62">
        <f>AVERAGE(N20:N22)</f>
        <v>0.5</v>
      </c>
      <c r="Q20" s="63">
        <f>AVERAGE(O20:O22)</f>
        <v>866</v>
      </c>
      <c r="AA20" s="2"/>
      <c r="AB20" s="2"/>
      <c r="AC20" s="2"/>
    </row>
    <row r="21" spans="1:29" x14ac:dyDescent="0.3">
      <c r="A21" s="85">
        <v>44545</v>
      </c>
      <c r="B21" s="13">
        <v>44545</v>
      </c>
      <c r="C21" s="16" t="s">
        <v>18</v>
      </c>
      <c r="D21" s="16" t="s">
        <v>22</v>
      </c>
      <c r="E21" s="16">
        <v>35</v>
      </c>
      <c r="F21" s="16">
        <v>15</v>
      </c>
      <c r="G21" s="16">
        <v>451</v>
      </c>
      <c r="H21" s="16">
        <v>748174</v>
      </c>
      <c r="I21" s="16">
        <f t="shared" si="1"/>
        <v>-0.68075250838869927</v>
      </c>
      <c r="J21" s="17">
        <f t="shared" si="0"/>
        <v>8677.3381628781426</v>
      </c>
      <c r="K21" s="145"/>
      <c r="M21" s="9" t="s">
        <v>32</v>
      </c>
      <c r="N21" s="56">
        <v>0.5</v>
      </c>
      <c r="O21" s="56">
        <v>875</v>
      </c>
      <c r="P21" s="57"/>
      <c r="Q21" s="58"/>
      <c r="AA21" s="2"/>
      <c r="AB21" s="2"/>
      <c r="AC21" s="2"/>
    </row>
    <row r="22" spans="1:29" ht="17.25" thickBot="1" x14ac:dyDescent="0.35">
      <c r="A22" s="85">
        <v>44545</v>
      </c>
      <c r="B22" s="13">
        <v>44545</v>
      </c>
      <c r="C22" s="16" t="s">
        <v>18</v>
      </c>
      <c r="D22" s="16" t="s">
        <v>22</v>
      </c>
      <c r="E22" s="16">
        <v>50</v>
      </c>
      <c r="F22" s="16">
        <v>16</v>
      </c>
      <c r="G22" s="16">
        <v>356</v>
      </c>
      <c r="H22" s="16">
        <v>997816</v>
      </c>
      <c r="I22" s="16">
        <f t="shared" si="1"/>
        <v>-0.86509474257565067</v>
      </c>
      <c r="J22" s="17">
        <f t="shared" si="0"/>
        <v>12020.783970789409</v>
      </c>
      <c r="K22" s="145"/>
      <c r="M22" s="11" t="s">
        <v>32</v>
      </c>
      <c r="N22" s="65">
        <v>0.5</v>
      </c>
      <c r="O22" s="65">
        <v>939</v>
      </c>
      <c r="P22" s="59"/>
      <c r="Q22" s="60"/>
      <c r="AA22" s="2"/>
      <c r="AB22" s="2"/>
      <c r="AC22" s="2"/>
    </row>
    <row r="23" spans="1:29" x14ac:dyDescent="0.3">
      <c r="A23" s="86">
        <v>44545</v>
      </c>
      <c r="B23" s="28">
        <v>44545</v>
      </c>
      <c r="C23" s="29" t="s">
        <v>18</v>
      </c>
      <c r="D23" s="29" t="s">
        <v>23</v>
      </c>
      <c r="E23" s="29">
        <v>10</v>
      </c>
      <c r="F23" s="29">
        <v>17</v>
      </c>
      <c r="G23" s="29">
        <v>994</v>
      </c>
      <c r="H23" s="29">
        <v>217516</v>
      </c>
      <c r="I23" s="29">
        <f t="shared" si="1"/>
        <v>0.37290889333250732</v>
      </c>
      <c r="J23" s="30">
        <f t="shared" si="0"/>
        <v>1570.2557587371057</v>
      </c>
      <c r="K23" s="146"/>
      <c r="O23" s="2"/>
      <c r="P23" s="2"/>
      <c r="Q23" s="2"/>
      <c r="AA23" s="2"/>
      <c r="AB23" s="2"/>
      <c r="AC23" s="2"/>
    </row>
    <row r="24" spans="1:29" ht="17.25" thickBot="1" x14ac:dyDescent="0.35">
      <c r="A24" s="87">
        <v>44545</v>
      </c>
      <c r="B24" s="31">
        <v>44545</v>
      </c>
      <c r="C24" s="32" t="s">
        <v>18</v>
      </c>
      <c r="D24" s="32" t="s">
        <v>23</v>
      </c>
      <c r="E24" s="32">
        <v>20</v>
      </c>
      <c r="F24" s="32">
        <v>18</v>
      </c>
      <c r="G24" s="32">
        <v>368</v>
      </c>
      <c r="H24" s="32">
        <v>602897</v>
      </c>
      <c r="I24" s="32">
        <f t="shared" si="1"/>
        <v>-0.84180940773098312</v>
      </c>
      <c r="J24" s="33">
        <f t="shared" si="0"/>
        <v>6731.6488292086287</v>
      </c>
      <c r="K24" s="146"/>
      <c r="M24" s="47" t="s">
        <v>33</v>
      </c>
      <c r="O24" s="66"/>
      <c r="P24" s="66"/>
      <c r="Q24" s="2"/>
      <c r="AA24" s="2"/>
      <c r="AB24" s="2"/>
      <c r="AC24" s="2"/>
    </row>
    <row r="25" spans="1:29" ht="17.25" thickBot="1" x14ac:dyDescent="0.35">
      <c r="A25" s="87">
        <v>44545</v>
      </c>
      <c r="B25" s="31">
        <v>44545</v>
      </c>
      <c r="C25" s="32" t="s">
        <v>18</v>
      </c>
      <c r="D25" s="32" t="s">
        <v>23</v>
      </c>
      <c r="E25" s="32">
        <v>35</v>
      </c>
      <c r="F25" s="32">
        <v>19</v>
      </c>
      <c r="G25" s="32">
        <v>331</v>
      </c>
      <c r="H25" s="32">
        <v>885378</v>
      </c>
      <c r="I25" s="32">
        <f t="shared" si="1"/>
        <v>-0.91360585683537476</v>
      </c>
      <c r="J25" s="33">
        <f t="shared" si="0"/>
        <v>10514.906114699781</v>
      </c>
      <c r="K25" s="147" t="s">
        <v>49</v>
      </c>
      <c r="M25" s="48" t="s">
        <v>13</v>
      </c>
      <c r="N25" s="49" t="s">
        <v>14</v>
      </c>
      <c r="O25" s="49" t="s">
        <v>0</v>
      </c>
      <c r="P25" s="50" t="s">
        <v>26</v>
      </c>
      <c r="Q25" s="51" t="s">
        <v>27</v>
      </c>
      <c r="AA25" s="2"/>
      <c r="AB25" s="2"/>
      <c r="AC25" s="2"/>
    </row>
    <row r="26" spans="1:29" ht="17.25" thickBot="1" x14ac:dyDescent="0.35">
      <c r="A26" s="89">
        <v>44545</v>
      </c>
      <c r="B26" s="38">
        <v>44545</v>
      </c>
      <c r="C26" s="39" t="s">
        <v>18</v>
      </c>
      <c r="D26" s="39" t="s">
        <v>23</v>
      </c>
      <c r="E26" s="39">
        <v>50</v>
      </c>
      <c r="F26" s="39">
        <v>20</v>
      </c>
      <c r="G26" s="40">
        <v>485</v>
      </c>
      <c r="H26" s="40">
        <v>781762</v>
      </c>
      <c r="I26" s="39">
        <f t="shared" si="1"/>
        <v>-0.61477739299547451</v>
      </c>
      <c r="J26" s="41">
        <f t="shared" si="0"/>
        <v>9127.180968960949</v>
      </c>
      <c r="K26" s="146"/>
      <c r="M26" s="121" t="s">
        <v>28</v>
      </c>
      <c r="N26" s="52">
        <v>1375</v>
      </c>
      <c r="O26" s="52">
        <v>181595</v>
      </c>
      <c r="P26" s="67">
        <f>AVERAGE(N26:N28)</f>
        <v>1375</v>
      </c>
      <c r="Q26" s="68">
        <f>AVERAGE(O26:O28)</f>
        <v>212953.66666666666</v>
      </c>
      <c r="AA26" s="2"/>
      <c r="AB26" s="2"/>
      <c r="AC26" s="2"/>
    </row>
    <row r="27" spans="1:29" x14ac:dyDescent="0.3">
      <c r="A27" s="77">
        <v>44545</v>
      </c>
      <c r="B27" s="27">
        <v>44545</v>
      </c>
      <c r="C27" s="22" t="s">
        <v>24</v>
      </c>
      <c r="D27" s="20" t="s">
        <v>19</v>
      </c>
      <c r="E27" s="20">
        <v>10</v>
      </c>
      <c r="F27" s="20">
        <v>21</v>
      </c>
      <c r="G27" s="22">
        <v>581</v>
      </c>
      <c r="H27" s="22">
        <v>473559</v>
      </c>
      <c r="I27" s="20">
        <f t="shared" si="1"/>
        <v>-0.42849471423813412</v>
      </c>
      <c r="J27" s="21">
        <f t="shared" si="0"/>
        <v>4999.4299161105628</v>
      </c>
      <c r="K27" s="145"/>
      <c r="M27" s="122" t="s">
        <v>28</v>
      </c>
      <c r="N27" s="69">
        <v>1375</v>
      </c>
      <c r="O27" s="69">
        <v>261064</v>
      </c>
      <c r="P27" s="70"/>
      <c r="Q27" s="71"/>
      <c r="AA27" s="2"/>
      <c r="AB27" s="2"/>
      <c r="AC27" s="2"/>
    </row>
    <row r="28" spans="1:29" ht="17.25" thickBot="1" x14ac:dyDescent="0.35">
      <c r="A28" s="85">
        <v>44545</v>
      </c>
      <c r="B28" s="14">
        <v>44545</v>
      </c>
      <c r="C28" s="18" t="s">
        <v>24</v>
      </c>
      <c r="D28" s="16" t="s">
        <v>19</v>
      </c>
      <c r="E28" s="16">
        <v>20</v>
      </c>
      <c r="F28" s="16">
        <v>22</v>
      </c>
      <c r="G28" s="18">
        <v>285</v>
      </c>
      <c r="H28" s="18">
        <v>717901</v>
      </c>
      <c r="I28" s="16">
        <f t="shared" si="1"/>
        <v>-1.0028663070732668</v>
      </c>
      <c r="J28" s="17">
        <f t="shared" si="0"/>
        <v>8271.8930256700696</v>
      </c>
      <c r="K28" s="145"/>
      <c r="M28" s="127" t="s">
        <v>28</v>
      </c>
      <c r="N28" s="72">
        <v>1375</v>
      </c>
      <c r="O28" s="72">
        <v>196202</v>
      </c>
      <c r="P28" s="73"/>
      <c r="Q28" s="74"/>
      <c r="AA28" s="2"/>
      <c r="AB28" s="2"/>
      <c r="AC28" s="2"/>
    </row>
    <row r="29" spans="1:29" x14ac:dyDescent="0.3">
      <c r="A29" s="85">
        <v>44545</v>
      </c>
      <c r="B29" s="14">
        <v>44545</v>
      </c>
      <c r="C29" s="18" t="s">
        <v>24</v>
      </c>
      <c r="D29" s="16" t="s">
        <v>19</v>
      </c>
      <c r="E29" s="16">
        <v>35</v>
      </c>
      <c r="F29" s="16">
        <v>23</v>
      </c>
      <c r="G29" s="18">
        <v>517</v>
      </c>
      <c r="H29" s="18">
        <v>696885</v>
      </c>
      <c r="I29" s="16">
        <f t="shared" si="1"/>
        <v>-0.55268316674302764</v>
      </c>
      <c r="J29" s="17">
        <f t="shared" si="0"/>
        <v>7990.4265372624177</v>
      </c>
      <c r="K29" s="145"/>
      <c r="M29" s="64" t="s">
        <v>29</v>
      </c>
      <c r="N29" s="52">
        <v>916.7</v>
      </c>
      <c r="O29" s="52">
        <v>182365</v>
      </c>
      <c r="P29" s="67">
        <f>AVERAGE(N29:N31)</f>
        <v>916.70000000000016</v>
      </c>
      <c r="Q29" s="68">
        <f>AVERAGE(O29:O31)</f>
        <v>186798.33333333334</v>
      </c>
      <c r="AA29" s="3" t="s">
        <v>15</v>
      </c>
      <c r="AB29" s="2">
        <f>SLOPE(P26:P43,Q26:Q43)</f>
        <v>1.3392961953161994E-2</v>
      </c>
      <c r="AC29" s="2"/>
    </row>
    <row r="30" spans="1:29" ht="17.25" thickBot="1" x14ac:dyDescent="0.35">
      <c r="A30" s="88">
        <v>44545</v>
      </c>
      <c r="B30" s="42">
        <v>44545</v>
      </c>
      <c r="C30" s="43" t="s">
        <v>24</v>
      </c>
      <c r="D30" s="35" t="s">
        <v>19</v>
      </c>
      <c r="E30" s="35">
        <v>50</v>
      </c>
      <c r="F30" s="35">
        <v>24</v>
      </c>
      <c r="G30" s="43">
        <v>327</v>
      </c>
      <c r="H30" s="43">
        <v>1239951</v>
      </c>
      <c r="I30" s="35">
        <f t="shared" si="1"/>
        <v>-0.92136763511693054</v>
      </c>
      <c r="J30" s="36">
        <f t="shared" si="0"/>
        <v>15263.688813318289</v>
      </c>
      <c r="K30" s="145"/>
      <c r="M30" s="9" t="s">
        <v>29</v>
      </c>
      <c r="N30" s="69">
        <v>916.7</v>
      </c>
      <c r="O30" s="69">
        <v>213799</v>
      </c>
      <c r="P30" s="70"/>
      <c r="Q30" s="71"/>
      <c r="AA30" s="3" t="s">
        <v>16</v>
      </c>
      <c r="AB30" s="2">
        <f>INTERCEPT(P26:P43,Q26:Q43)</f>
        <v>-1342.9277534668786</v>
      </c>
      <c r="AC30" s="2"/>
    </row>
    <row r="31" spans="1:29" ht="17.25" thickBot="1" x14ac:dyDescent="0.35">
      <c r="A31" s="77">
        <v>44545</v>
      </c>
      <c r="B31" s="19">
        <v>44545</v>
      </c>
      <c r="C31" s="22" t="s">
        <v>24</v>
      </c>
      <c r="D31" s="20" t="s">
        <v>20</v>
      </c>
      <c r="E31" s="20">
        <v>10</v>
      </c>
      <c r="F31" s="20">
        <v>25</v>
      </c>
      <c r="G31" s="20">
        <v>413</v>
      </c>
      <c r="H31" s="20">
        <v>583930</v>
      </c>
      <c r="I31" s="20">
        <f t="shared" si="1"/>
        <v>-0.75448940206347981</v>
      </c>
      <c r="J31" s="21">
        <f t="shared" si="0"/>
        <v>6477.6245198430042</v>
      </c>
      <c r="K31" s="145"/>
      <c r="M31" s="11" t="s">
        <v>29</v>
      </c>
      <c r="N31" s="72">
        <v>916.7</v>
      </c>
      <c r="O31" s="72">
        <v>164231</v>
      </c>
      <c r="P31" s="73"/>
      <c r="Q31" s="74"/>
      <c r="AA31" s="2" t="s">
        <v>17</v>
      </c>
      <c r="AB31" s="2">
        <f>RSQ(P26:P43,Q26:Q43)</f>
        <v>0.98279173120015695</v>
      </c>
    </row>
    <row r="32" spans="1:29" x14ac:dyDescent="0.3">
      <c r="A32" s="85">
        <v>44545</v>
      </c>
      <c r="B32" s="13">
        <v>44545</v>
      </c>
      <c r="C32" s="18" t="s">
        <v>24</v>
      </c>
      <c r="D32" s="16" t="s">
        <v>20</v>
      </c>
      <c r="E32" s="16">
        <v>20</v>
      </c>
      <c r="F32" s="16">
        <v>26</v>
      </c>
      <c r="G32" s="16">
        <v>311</v>
      </c>
      <c r="H32" s="16">
        <v>754350</v>
      </c>
      <c r="I32" s="16">
        <f t="shared" si="1"/>
        <v>-0.95241474824315397</v>
      </c>
      <c r="J32" s="17">
        <f t="shared" si="0"/>
        <v>8760.053095900872</v>
      </c>
      <c r="K32" s="145"/>
      <c r="M32" s="64" t="s">
        <v>30</v>
      </c>
      <c r="N32" s="52">
        <v>550</v>
      </c>
      <c r="O32" s="52">
        <v>213903</v>
      </c>
      <c r="P32" s="67">
        <f>AVERAGE(N32:N34)</f>
        <v>550</v>
      </c>
      <c r="Q32" s="68">
        <f>AVERAGE(O32:O34)</f>
        <v>171037.33333333334</v>
      </c>
      <c r="AA32" s="2"/>
      <c r="AB32" s="2"/>
    </row>
    <row r="33" spans="1:28" x14ac:dyDescent="0.3">
      <c r="A33" s="85">
        <v>44545</v>
      </c>
      <c r="B33" s="13">
        <v>44545</v>
      </c>
      <c r="C33" s="18" t="s">
        <v>24</v>
      </c>
      <c r="D33" s="16" t="s">
        <v>20</v>
      </c>
      <c r="E33" s="16">
        <v>35</v>
      </c>
      <c r="F33" s="16">
        <v>27</v>
      </c>
      <c r="G33" s="16">
        <v>244</v>
      </c>
      <c r="H33" s="16">
        <v>1008860</v>
      </c>
      <c r="I33" s="16">
        <f t="shared" si="1"/>
        <v>-1.0824245344592145</v>
      </c>
      <c r="J33" s="17">
        <f t="shared" si="0"/>
        <v>12168.695842600131</v>
      </c>
      <c r="K33" s="145"/>
      <c r="M33" s="9" t="s">
        <v>30</v>
      </c>
      <c r="N33" s="69">
        <v>550</v>
      </c>
      <c r="O33" s="69">
        <v>177481</v>
      </c>
      <c r="P33" s="70"/>
      <c r="Q33" s="71"/>
      <c r="AA33" s="2"/>
      <c r="AB33" s="2"/>
    </row>
    <row r="34" spans="1:28" ht="17.25" thickBot="1" x14ac:dyDescent="0.35">
      <c r="A34" s="85">
        <v>44545</v>
      </c>
      <c r="B34" s="13">
        <v>44545</v>
      </c>
      <c r="C34" s="18" t="s">
        <v>24</v>
      </c>
      <c r="D34" s="16" t="s">
        <v>20</v>
      </c>
      <c r="E34" s="16">
        <v>50</v>
      </c>
      <c r="F34" s="16">
        <v>28</v>
      </c>
      <c r="G34" s="16">
        <v>264</v>
      </c>
      <c r="H34" s="16">
        <v>1056922</v>
      </c>
      <c r="I34" s="16">
        <f t="shared" si="1"/>
        <v>-1.0436156430514352</v>
      </c>
      <c r="J34" s="17">
        <f t="shared" si="0"/>
        <v>12812.388379993003</v>
      </c>
      <c r="K34" s="145"/>
      <c r="M34" s="11" t="s">
        <v>30</v>
      </c>
      <c r="N34" s="72">
        <v>550</v>
      </c>
      <c r="O34" s="72">
        <v>121728</v>
      </c>
      <c r="P34" s="73"/>
      <c r="Q34" s="74"/>
      <c r="AA34" s="2"/>
      <c r="AB34" s="2"/>
    </row>
    <row r="35" spans="1:28" x14ac:dyDescent="0.3">
      <c r="A35" s="86">
        <v>44545</v>
      </c>
      <c r="B35" s="28">
        <v>44545</v>
      </c>
      <c r="C35" s="44" t="s">
        <v>24</v>
      </c>
      <c r="D35" s="29" t="s">
        <v>21</v>
      </c>
      <c r="E35" s="29">
        <v>10</v>
      </c>
      <c r="F35" s="29">
        <v>29</v>
      </c>
      <c r="G35" s="29">
        <v>760</v>
      </c>
      <c r="H35" s="29">
        <v>342994</v>
      </c>
      <c r="I35" s="29">
        <f t="shared" si="1"/>
        <v>-8.1155136138509887E-2</v>
      </c>
      <c r="J35" s="30">
        <f t="shared" si="0"/>
        <v>3250.7778386959667</v>
      </c>
      <c r="K35" s="146"/>
      <c r="M35" s="64" t="s">
        <v>31</v>
      </c>
      <c r="N35" s="52">
        <v>275</v>
      </c>
      <c r="O35" s="52">
        <v>191374</v>
      </c>
      <c r="P35" s="67">
        <f>AVERAGE(N35:N37)</f>
        <v>275</v>
      </c>
      <c r="Q35" s="68">
        <f>AVERAGE(O35:O37)</f>
        <v>137860.66666666666</v>
      </c>
      <c r="AA35" s="2"/>
      <c r="AB35" s="2"/>
    </row>
    <row r="36" spans="1:28" x14ac:dyDescent="0.3">
      <c r="A36" s="87">
        <v>44545</v>
      </c>
      <c r="B36" s="31">
        <v>44545</v>
      </c>
      <c r="C36" s="37" t="s">
        <v>24</v>
      </c>
      <c r="D36" s="32" t="s">
        <v>21</v>
      </c>
      <c r="E36" s="32">
        <v>20</v>
      </c>
      <c r="F36" s="32">
        <v>30</v>
      </c>
      <c r="G36" s="32">
        <v>424</v>
      </c>
      <c r="H36" s="32">
        <v>609529</v>
      </c>
      <c r="I36" s="32">
        <f t="shared" si="1"/>
        <v>-0.73314451178920126</v>
      </c>
      <c r="J36" s="33">
        <f t="shared" si="0"/>
        <v>6820.4709528819985</v>
      </c>
      <c r="K36" s="146"/>
      <c r="M36" s="9" t="s">
        <v>31</v>
      </c>
      <c r="N36" s="69">
        <v>275</v>
      </c>
      <c r="O36" s="69">
        <v>140014</v>
      </c>
      <c r="P36" s="70"/>
      <c r="Q36" s="71"/>
    </row>
    <row r="37" spans="1:28" ht="17.25" thickBot="1" x14ac:dyDescent="0.35">
      <c r="A37" s="87">
        <v>44545</v>
      </c>
      <c r="B37" s="31">
        <v>44545</v>
      </c>
      <c r="C37" s="37" t="s">
        <v>24</v>
      </c>
      <c r="D37" s="32" t="s">
        <v>21</v>
      </c>
      <c r="E37" s="32">
        <v>35</v>
      </c>
      <c r="F37" s="32">
        <v>31</v>
      </c>
      <c r="G37" s="32">
        <v>637</v>
      </c>
      <c r="H37" s="32">
        <v>646695</v>
      </c>
      <c r="I37" s="32">
        <f t="shared" si="1"/>
        <v>-0.31982981829635215</v>
      </c>
      <c r="J37" s="33">
        <f t="shared" si="0"/>
        <v>7318.2337768332181</v>
      </c>
      <c r="K37" s="146"/>
      <c r="M37" s="11" t="s">
        <v>31</v>
      </c>
      <c r="N37" s="72">
        <v>275</v>
      </c>
      <c r="O37" s="72">
        <v>82194</v>
      </c>
      <c r="P37" s="73"/>
      <c r="Q37" s="74"/>
    </row>
    <row r="38" spans="1:28" ht="17.25" thickBot="1" x14ac:dyDescent="0.35">
      <c r="A38" s="89">
        <v>44545</v>
      </c>
      <c r="B38" s="45">
        <v>44545</v>
      </c>
      <c r="C38" s="40" t="s">
        <v>24</v>
      </c>
      <c r="D38" s="39" t="s">
        <v>21</v>
      </c>
      <c r="E38" s="39">
        <v>50</v>
      </c>
      <c r="F38" s="39">
        <v>32</v>
      </c>
      <c r="G38" s="39">
        <v>320</v>
      </c>
      <c r="H38" s="39">
        <v>1290819</v>
      </c>
      <c r="I38" s="39">
        <f t="shared" si="1"/>
        <v>-0.93495074710965331</v>
      </c>
      <c r="J38" s="41">
        <f t="shared" si="0"/>
        <v>15944.962001951733</v>
      </c>
      <c r="K38" s="146"/>
      <c r="M38" s="64" t="s">
        <v>32</v>
      </c>
      <c r="N38" s="52">
        <v>91.7</v>
      </c>
      <c r="O38" s="52">
        <v>166096</v>
      </c>
      <c r="P38" s="67">
        <f>AVERAGE(N38:N40)</f>
        <v>91.7</v>
      </c>
      <c r="Q38" s="68">
        <f>AVERAGE(O38:O40)</f>
        <v>109823.33333333333</v>
      </c>
    </row>
    <row r="39" spans="1:28" x14ac:dyDescent="0.3">
      <c r="A39" s="77">
        <v>44545</v>
      </c>
      <c r="B39" s="19">
        <v>44545</v>
      </c>
      <c r="C39" s="22" t="s">
        <v>24</v>
      </c>
      <c r="D39" s="20" t="s">
        <v>22</v>
      </c>
      <c r="E39" s="20">
        <v>10</v>
      </c>
      <c r="F39" s="20">
        <v>33</v>
      </c>
      <c r="G39" s="20">
        <v>831</v>
      </c>
      <c r="H39" s="20">
        <v>403662</v>
      </c>
      <c r="I39" s="20">
        <f t="shared" si="1"/>
        <v>5.6616428359106408E-2</v>
      </c>
      <c r="J39" s="21">
        <f t="shared" ref="J39:J66" si="2">(H39*$AB$29)+$AB$30</f>
        <v>4063.3020544703982</v>
      </c>
      <c r="K39" s="145"/>
      <c r="M39" s="9" t="s">
        <v>32</v>
      </c>
      <c r="N39" s="69">
        <v>91.7</v>
      </c>
      <c r="O39" s="69">
        <v>115708</v>
      </c>
      <c r="P39" s="70"/>
      <c r="Q39" s="71"/>
    </row>
    <row r="40" spans="1:28" ht="17.25" thickBot="1" x14ac:dyDescent="0.35">
      <c r="A40" s="85">
        <v>44545</v>
      </c>
      <c r="B40" s="13">
        <v>44545</v>
      </c>
      <c r="C40" s="18" t="s">
        <v>24</v>
      </c>
      <c r="D40" s="16" t="s">
        <v>22</v>
      </c>
      <c r="E40" s="16">
        <v>20</v>
      </c>
      <c r="F40" s="16">
        <v>34</v>
      </c>
      <c r="G40" s="16">
        <v>488</v>
      </c>
      <c r="H40" s="16">
        <v>655316</v>
      </c>
      <c r="I40" s="16">
        <f t="shared" si="1"/>
        <v>-0.60895605928430763</v>
      </c>
      <c r="J40" s="17">
        <f t="shared" si="2"/>
        <v>7433.6945018314273</v>
      </c>
      <c r="K40" s="145"/>
      <c r="M40" s="11" t="s">
        <v>32</v>
      </c>
      <c r="N40" s="72">
        <v>91.7</v>
      </c>
      <c r="O40" s="72">
        <v>47666</v>
      </c>
      <c r="P40" s="72"/>
      <c r="Q40" s="128"/>
    </row>
    <row r="41" spans="1:28" ht="17.25" thickBot="1" x14ac:dyDescent="0.35">
      <c r="A41" s="85">
        <v>44545</v>
      </c>
      <c r="B41" s="13">
        <v>44545</v>
      </c>
      <c r="C41" s="18" t="s">
        <v>24</v>
      </c>
      <c r="D41" s="16" t="s">
        <v>22</v>
      </c>
      <c r="E41" s="16">
        <v>35</v>
      </c>
      <c r="F41" s="16">
        <v>35</v>
      </c>
      <c r="G41" s="16">
        <v>467</v>
      </c>
      <c r="H41" s="16">
        <v>659250</v>
      </c>
      <c r="I41" s="16">
        <f t="shared" si="1"/>
        <v>-0.64970539526247584</v>
      </c>
      <c r="J41" s="17">
        <f t="shared" si="2"/>
        <v>7486.3824141551668</v>
      </c>
      <c r="K41" s="145"/>
      <c r="M41" s="82" t="s">
        <v>36</v>
      </c>
      <c r="N41" s="83">
        <v>2500</v>
      </c>
      <c r="O41" s="84">
        <v>209325</v>
      </c>
      <c r="P41" s="84">
        <f>AVERAGE(N41:N41)</f>
        <v>2500</v>
      </c>
      <c r="Q41" s="129">
        <f>AVERAGE(O41)</f>
        <v>209325</v>
      </c>
    </row>
    <row r="42" spans="1:28" ht="17.25" thickBot="1" x14ac:dyDescent="0.35">
      <c r="A42" s="88">
        <v>44545</v>
      </c>
      <c r="B42" s="34">
        <v>44545</v>
      </c>
      <c r="C42" s="43" t="s">
        <v>24</v>
      </c>
      <c r="D42" s="35" t="s">
        <v>22</v>
      </c>
      <c r="E42" s="35">
        <v>50</v>
      </c>
      <c r="F42" s="35">
        <v>36</v>
      </c>
      <c r="G42" s="35">
        <v>443</v>
      </c>
      <c r="H42" s="35">
        <v>902017</v>
      </c>
      <c r="I42" s="35">
        <f t="shared" si="1"/>
        <v>-0.69627606495181094</v>
      </c>
      <c r="J42" s="36">
        <f t="shared" si="2"/>
        <v>10737.751608638444</v>
      </c>
      <c r="K42" s="145"/>
      <c r="M42" s="82" t="s">
        <v>46</v>
      </c>
      <c r="N42" s="83">
        <v>5000</v>
      </c>
      <c r="O42" s="84">
        <v>465979</v>
      </c>
      <c r="P42" s="84">
        <f>AVERAGE(N42:N42)</f>
        <v>5000</v>
      </c>
      <c r="Q42" s="129">
        <f t="shared" ref="Q42:Q43" si="3">AVERAGE(O42)</f>
        <v>465979</v>
      </c>
    </row>
    <row r="43" spans="1:28" ht="17.25" thickBot="1" x14ac:dyDescent="0.35">
      <c r="A43" s="77">
        <v>44545</v>
      </c>
      <c r="B43" s="19">
        <v>44545</v>
      </c>
      <c r="C43" s="22" t="s">
        <v>24</v>
      </c>
      <c r="D43" s="20" t="s">
        <v>23</v>
      </c>
      <c r="E43" s="20">
        <v>10</v>
      </c>
      <c r="F43" s="20">
        <v>37</v>
      </c>
      <c r="G43" s="20">
        <v>747</v>
      </c>
      <c r="H43" s="20">
        <v>329489</v>
      </c>
      <c r="I43" s="20">
        <f t="shared" si="1"/>
        <v>-0.10638091555356644</v>
      </c>
      <c r="J43" s="21">
        <f t="shared" si="2"/>
        <v>3069.9058875185133</v>
      </c>
      <c r="K43" s="145"/>
      <c r="M43" s="130" t="s">
        <v>34</v>
      </c>
      <c r="N43" s="131">
        <v>10000</v>
      </c>
      <c r="O43" s="132">
        <v>854607</v>
      </c>
      <c r="P43" s="132">
        <f>N43</f>
        <v>10000</v>
      </c>
      <c r="Q43" s="133">
        <f t="shared" si="3"/>
        <v>854607</v>
      </c>
    </row>
    <row r="44" spans="1:28" x14ac:dyDescent="0.3">
      <c r="A44" s="85">
        <v>44545</v>
      </c>
      <c r="B44" s="13">
        <v>44545</v>
      </c>
      <c r="C44" s="18" t="s">
        <v>24</v>
      </c>
      <c r="D44" s="16" t="s">
        <v>23</v>
      </c>
      <c r="E44" s="16">
        <v>20</v>
      </c>
      <c r="F44" s="16">
        <v>38</v>
      </c>
      <c r="G44" s="16">
        <v>454</v>
      </c>
      <c r="H44" s="16">
        <v>438753</v>
      </c>
      <c r="I44" s="16">
        <f t="shared" si="1"/>
        <v>-0.67493117467753239</v>
      </c>
      <c r="J44" s="17">
        <f t="shared" si="2"/>
        <v>4533.2744823688063</v>
      </c>
      <c r="K44" s="145"/>
    </row>
    <row r="45" spans="1:28" x14ac:dyDescent="0.3">
      <c r="A45" s="85">
        <v>44545</v>
      </c>
      <c r="B45" s="13">
        <v>44545</v>
      </c>
      <c r="C45" s="18" t="s">
        <v>24</v>
      </c>
      <c r="D45" s="16" t="s">
        <v>23</v>
      </c>
      <c r="E45" s="16">
        <v>35</v>
      </c>
      <c r="F45" s="16">
        <v>39</v>
      </c>
      <c r="G45" s="16">
        <v>526</v>
      </c>
      <c r="H45" s="16">
        <v>558517</v>
      </c>
      <c r="I45" s="16">
        <f t="shared" si="1"/>
        <v>-0.53521916560952709</v>
      </c>
      <c r="J45" s="17">
        <f t="shared" si="2"/>
        <v>6137.2691777272994</v>
      </c>
      <c r="K45" s="145"/>
      <c r="M45" s="79"/>
      <c r="N45" s="80"/>
      <c r="O45" s="81"/>
      <c r="P45" s="81"/>
      <c r="Q45" s="81"/>
    </row>
    <row r="46" spans="1:28" ht="17.25" thickBot="1" x14ac:dyDescent="0.35">
      <c r="A46" s="85">
        <v>44545</v>
      </c>
      <c r="B46" s="13">
        <v>44545</v>
      </c>
      <c r="C46" s="18" t="s">
        <v>24</v>
      </c>
      <c r="D46" s="16" t="s">
        <v>23</v>
      </c>
      <c r="E46" s="16">
        <v>50</v>
      </c>
      <c r="F46" s="16">
        <v>40</v>
      </c>
      <c r="G46" s="16">
        <v>248</v>
      </c>
      <c r="H46" s="16">
        <v>1034564</v>
      </c>
      <c r="I46" s="16">
        <f t="shared" si="1"/>
        <v>-1.0746627561776587</v>
      </c>
      <c r="J46" s="17">
        <f t="shared" si="2"/>
        <v>12512.948536644208</v>
      </c>
      <c r="K46" s="145"/>
    </row>
    <row r="47" spans="1:28" x14ac:dyDescent="0.3">
      <c r="A47" s="86">
        <v>44545</v>
      </c>
      <c r="B47" s="28">
        <v>44545</v>
      </c>
      <c r="C47" s="29" t="s">
        <v>25</v>
      </c>
      <c r="D47" s="29" t="s">
        <v>19</v>
      </c>
      <c r="E47" s="29">
        <v>10</v>
      </c>
      <c r="F47" s="29">
        <v>41</v>
      </c>
      <c r="G47" s="29">
        <v>850</v>
      </c>
      <c r="H47" s="29">
        <v>267985</v>
      </c>
      <c r="I47" s="29">
        <f t="shared" si="1"/>
        <v>9.3484875196496731E-2</v>
      </c>
      <c r="J47" s="30">
        <f t="shared" si="2"/>
        <v>2246.1851555512385</v>
      </c>
      <c r="K47" s="146"/>
    </row>
    <row r="48" spans="1:28" x14ac:dyDescent="0.3">
      <c r="A48" s="87">
        <v>44545</v>
      </c>
      <c r="B48" s="31">
        <v>44545</v>
      </c>
      <c r="C48" s="32" t="s">
        <v>25</v>
      </c>
      <c r="D48" s="32" t="s">
        <v>19</v>
      </c>
      <c r="E48" s="32">
        <v>20</v>
      </c>
      <c r="F48" s="32">
        <v>42</v>
      </c>
      <c r="G48" s="32">
        <v>278</v>
      </c>
      <c r="H48" s="32">
        <v>786670</v>
      </c>
      <c r="I48" s="32">
        <f t="shared" si="1"/>
        <v>-1.0164494190659896</v>
      </c>
      <c r="J48" s="33">
        <f t="shared" si="2"/>
        <v>9192.9136262270677</v>
      </c>
      <c r="K48" s="146"/>
    </row>
    <row r="49" spans="1:18" x14ac:dyDescent="0.3">
      <c r="A49" s="87">
        <v>44545</v>
      </c>
      <c r="B49" s="31">
        <v>44545</v>
      </c>
      <c r="C49" s="32" t="s">
        <v>25</v>
      </c>
      <c r="D49" s="32" t="s">
        <v>19</v>
      </c>
      <c r="E49" s="32">
        <v>35</v>
      </c>
      <c r="F49" s="32">
        <v>43</v>
      </c>
      <c r="G49" s="32">
        <v>342</v>
      </c>
      <c r="H49" s="32">
        <v>765984</v>
      </c>
      <c r="I49" s="32">
        <f t="shared" si="1"/>
        <v>-0.8922609665610961</v>
      </c>
      <c r="J49" s="33">
        <f t="shared" si="2"/>
        <v>8915.8668152639584</v>
      </c>
      <c r="K49" s="146"/>
    </row>
    <row r="50" spans="1:18" ht="17.25" thickBot="1" x14ac:dyDescent="0.35">
      <c r="A50" s="87">
        <v>44545</v>
      </c>
      <c r="B50" s="31">
        <v>44545</v>
      </c>
      <c r="C50" s="32" t="s">
        <v>25</v>
      </c>
      <c r="D50" s="32" t="s">
        <v>19</v>
      </c>
      <c r="E50" s="32">
        <v>50</v>
      </c>
      <c r="F50" s="32">
        <v>44</v>
      </c>
      <c r="G50" s="32">
        <v>0</v>
      </c>
      <c r="H50" s="32">
        <v>1487027</v>
      </c>
      <c r="I50" s="32">
        <f t="shared" si="1"/>
        <v>-1.5558930096341212</v>
      </c>
      <c r="J50" s="33">
        <f t="shared" si="2"/>
        <v>18572.768280857741</v>
      </c>
      <c r="K50" s="146"/>
    </row>
    <row r="51" spans="1:18" x14ac:dyDescent="0.3">
      <c r="A51" s="77">
        <v>44545</v>
      </c>
      <c r="B51" s="19">
        <v>44545</v>
      </c>
      <c r="C51" s="20" t="s">
        <v>25</v>
      </c>
      <c r="D51" s="20" t="s">
        <v>20</v>
      </c>
      <c r="E51" s="20">
        <v>10</v>
      </c>
      <c r="F51" s="20">
        <v>45</v>
      </c>
      <c r="G51" s="20">
        <v>654</v>
      </c>
      <c r="H51" s="20">
        <v>574930</v>
      </c>
      <c r="I51" s="20">
        <f t="shared" si="1"/>
        <v>-0.28684226059973983</v>
      </c>
      <c r="J51" s="21">
        <f t="shared" si="2"/>
        <v>6357.0878622645469</v>
      </c>
      <c r="K51" s="145"/>
    </row>
    <row r="52" spans="1:18" x14ac:dyDescent="0.3">
      <c r="A52" s="85">
        <v>44545</v>
      </c>
      <c r="B52" s="13">
        <v>44545</v>
      </c>
      <c r="C52" s="16" t="s">
        <v>25</v>
      </c>
      <c r="D52" s="16" t="s">
        <v>20</v>
      </c>
      <c r="E52" s="16">
        <v>20</v>
      </c>
      <c r="F52" s="16">
        <v>46</v>
      </c>
      <c r="G52" s="16">
        <v>204</v>
      </c>
      <c r="H52" s="16">
        <v>1042046</v>
      </c>
      <c r="I52" s="16">
        <f t="shared" si="1"/>
        <v>-1.1600423172747729</v>
      </c>
      <c r="J52" s="17">
        <f t="shared" si="2"/>
        <v>12613.154677977765</v>
      </c>
      <c r="K52" s="145"/>
    </row>
    <row r="53" spans="1:18" x14ac:dyDescent="0.3">
      <c r="A53" s="85">
        <v>44545</v>
      </c>
      <c r="B53" s="13">
        <v>44545</v>
      </c>
      <c r="C53" s="16" t="s">
        <v>25</v>
      </c>
      <c r="D53" s="16" t="s">
        <v>20</v>
      </c>
      <c r="E53" s="16">
        <v>35</v>
      </c>
      <c r="F53" s="16">
        <v>47</v>
      </c>
      <c r="G53" s="16">
        <v>454</v>
      </c>
      <c r="H53" s="16">
        <v>935792</v>
      </c>
      <c r="I53" s="16">
        <f t="shared" si="1"/>
        <v>-0.67493117467753239</v>
      </c>
      <c r="J53" s="17">
        <f t="shared" si="2"/>
        <v>11190.098898606491</v>
      </c>
      <c r="K53" s="145"/>
    </row>
    <row r="54" spans="1:18" ht="17.25" thickBot="1" x14ac:dyDescent="0.35">
      <c r="A54" s="88">
        <v>44545</v>
      </c>
      <c r="B54" s="34">
        <v>44545</v>
      </c>
      <c r="C54" s="35" t="s">
        <v>25</v>
      </c>
      <c r="D54" s="35" t="s">
        <v>20</v>
      </c>
      <c r="E54" s="35">
        <v>50</v>
      </c>
      <c r="F54" s="35">
        <v>48</v>
      </c>
      <c r="G54" s="35">
        <v>638</v>
      </c>
      <c r="H54" s="35">
        <v>635160</v>
      </c>
      <c r="I54" s="35">
        <f t="shared" si="1"/>
        <v>-0.31788937372596338</v>
      </c>
      <c r="J54" s="36">
        <f t="shared" si="2"/>
        <v>7163.7459607034943</v>
      </c>
      <c r="K54" s="145"/>
    </row>
    <row r="55" spans="1:18" x14ac:dyDescent="0.3">
      <c r="A55" s="77">
        <v>44545</v>
      </c>
      <c r="B55" s="19">
        <v>44545</v>
      </c>
      <c r="C55" s="20" t="s">
        <v>25</v>
      </c>
      <c r="D55" s="20" t="s">
        <v>21</v>
      </c>
      <c r="E55" s="20">
        <v>10</v>
      </c>
      <c r="F55" s="20">
        <v>49</v>
      </c>
      <c r="G55" s="20">
        <v>746</v>
      </c>
      <c r="H55" s="20">
        <v>389276</v>
      </c>
      <c r="I55" s="20">
        <f t="shared" si="1"/>
        <v>-0.10832136012395543</v>
      </c>
      <c r="J55" s="21">
        <f t="shared" si="2"/>
        <v>3870.6309038122095</v>
      </c>
      <c r="K55" s="145"/>
    </row>
    <row r="56" spans="1:18" x14ac:dyDescent="0.3">
      <c r="A56" s="85">
        <v>44545</v>
      </c>
      <c r="B56" s="13">
        <v>44545</v>
      </c>
      <c r="C56" s="16" t="s">
        <v>25</v>
      </c>
      <c r="D56" s="16" t="s">
        <v>21</v>
      </c>
      <c r="E56" s="16">
        <v>20</v>
      </c>
      <c r="F56" s="16">
        <v>50</v>
      </c>
      <c r="G56" s="16">
        <v>206</v>
      </c>
      <c r="H56" s="16">
        <v>998263</v>
      </c>
      <c r="I56" s="16">
        <f t="shared" si="1"/>
        <v>-1.1561614281339949</v>
      </c>
      <c r="J56" s="17">
        <f t="shared" si="2"/>
        <v>12026.770624782474</v>
      </c>
      <c r="K56" s="145"/>
      <c r="O56" s="75"/>
      <c r="P56" s="75"/>
      <c r="Q56" s="75"/>
      <c r="R56" s="75"/>
    </row>
    <row r="57" spans="1:18" x14ac:dyDescent="0.3">
      <c r="A57" s="85">
        <v>44545</v>
      </c>
      <c r="B57" s="13">
        <v>44545</v>
      </c>
      <c r="C57" s="16" t="s">
        <v>25</v>
      </c>
      <c r="D57" s="16" t="s">
        <v>21</v>
      </c>
      <c r="E57" s="16">
        <v>35</v>
      </c>
      <c r="F57" s="16">
        <v>51</v>
      </c>
      <c r="G57" s="16">
        <v>496</v>
      </c>
      <c r="H57" s="16">
        <v>784210</v>
      </c>
      <c r="I57" s="16">
        <f t="shared" si="1"/>
        <v>-0.59343250272119596</v>
      </c>
      <c r="J57" s="17">
        <f t="shared" si="2"/>
        <v>9159.9669398222886</v>
      </c>
      <c r="K57" s="145"/>
      <c r="O57" s="2"/>
      <c r="P57" s="2"/>
      <c r="Q57" s="2"/>
    </row>
    <row r="58" spans="1:18" ht="17.25" thickBot="1" x14ac:dyDescent="0.35">
      <c r="A58" s="88">
        <v>44545</v>
      </c>
      <c r="B58" s="34">
        <v>44545</v>
      </c>
      <c r="C58" s="35" t="s">
        <v>25</v>
      </c>
      <c r="D58" s="35" t="s">
        <v>21</v>
      </c>
      <c r="E58" s="35">
        <v>50</v>
      </c>
      <c r="F58" s="35">
        <v>52</v>
      </c>
      <c r="G58" s="35">
        <v>363</v>
      </c>
      <c r="H58" s="35">
        <v>1640927</v>
      </c>
      <c r="I58" s="35">
        <f t="shared" si="1"/>
        <v>-0.85151163058292789</v>
      </c>
      <c r="J58" s="36">
        <f t="shared" si="2"/>
        <v>20633.945125449372</v>
      </c>
      <c r="K58" s="145"/>
      <c r="O58" s="2"/>
      <c r="P58" s="2"/>
      <c r="Q58" s="2"/>
    </row>
    <row r="59" spans="1:18" x14ac:dyDescent="0.3">
      <c r="A59" s="86">
        <v>44545</v>
      </c>
      <c r="B59" s="28">
        <v>44545</v>
      </c>
      <c r="C59" s="29" t="s">
        <v>25</v>
      </c>
      <c r="D59" s="29" t="s">
        <v>22</v>
      </c>
      <c r="E59" s="29">
        <v>10</v>
      </c>
      <c r="F59" s="29">
        <v>53</v>
      </c>
      <c r="G59" s="29">
        <v>663</v>
      </c>
      <c r="H59" s="29">
        <v>230273</v>
      </c>
      <c r="I59" s="29">
        <f t="shared" si="1"/>
        <v>-0.26937825946623928</v>
      </c>
      <c r="J59" s="30">
        <f t="shared" si="2"/>
        <v>1741.1097743735932</v>
      </c>
      <c r="K59" s="146"/>
      <c r="O59" s="2"/>
      <c r="P59" s="2"/>
      <c r="Q59" s="2"/>
    </row>
    <row r="60" spans="1:18" x14ac:dyDescent="0.3">
      <c r="A60" s="87">
        <v>44545</v>
      </c>
      <c r="B60" s="31">
        <v>44545</v>
      </c>
      <c r="C60" s="32" t="s">
        <v>25</v>
      </c>
      <c r="D60" s="32" t="s">
        <v>22</v>
      </c>
      <c r="E60" s="32">
        <v>20</v>
      </c>
      <c r="F60" s="32">
        <v>54</v>
      </c>
      <c r="G60" s="32">
        <v>264</v>
      </c>
      <c r="H60" s="32">
        <v>554959</v>
      </c>
      <c r="I60" s="32">
        <f t="shared" si="1"/>
        <v>-1.0436156430514352</v>
      </c>
      <c r="J60" s="33">
        <f t="shared" si="2"/>
        <v>6089.6170190979483</v>
      </c>
      <c r="K60" s="146"/>
      <c r="O60" s="2"/>
      <c r="P60" s="2"/>
      <c r="Q60" s="2"/>
    </row>
    <row r="61" spans="1:18" x14ac:dyDescent="0.3">
      <c r="A61" s="87">
        <v>44545</v>
      </c>
      <c r="B61" s="31">
        <v>44545</v>
      </c>
      <c r="C61" s="32" t="s">
        <v>25</v>
      </c>
      <c r="D61" s="32" t="s">
        <v>22</v>
      </c>
      <c r="E61" s="32">
        <v>35</v>
      </c>
      <c r="F61" s="32">
        <v>55</v>
      </c>
      <c r="G61" s="32">
        <v>206</v>
      </c>
      <c r="H61" s="32">
        <v>779841</v>
      </c>
      <c r="I61" s="32">
        <f t="shared" si="1"/>
        <v>-1.1561614281339949</v>
      </c>
      <c r="J61" s="33">
        <f t="shared" si="2"/>
        <v>9101.4530890489241</v>
      </c>
      <c r="K61" s="146"/>
      <c r="O61" s="2"/>
      <c r="P61" s="2"/>
      <c r="Q61" s="2"/>
    </row>
    <row r="62" spans="1:18" ht="17.25" thickBot="1" x14ac:dyDescent="0.35">
      <c r="A62" s="89">
        <v>44545</v>
      </c>
      <c r="B62" s="45">
        <v>44545</v>
      </c>
      <c r="C62" s="39" t="s">
        <v>25</v>
      </c>
      <c r="D62" s="39" t="s">
        <v>22</v>
      </c>
      <c r="E62" s="39">
        <v>50</v>
      </c>
      <c r="F62" s="39">
        <v>56</v>
      </c>
      <c r="G62" s="39">
        <v>232</v>
      </c>
      <c r="H62" s="39">
        <v>887904</v>
      </c>
      <c r="I62" s="39">
        <f t="shared" si="1"/>
        <v>-1.105709869303882</v>
      </c>
      <c r="J62" s="41">
        <f t="shared" si="2"/>
        <v>10548.73673659347</v>
      </c>
      <c r="K62" s="146"/>
      <c r="O62" s="2"/>
      <c r="P62" s="2"/>
      <c r="Q62" s="2"/>
    </row>
    <row r="63" spans="1:18" x14ac:dyDescent="0.3">
      <c r="A63" s="77">
        <v>44545</v>
      </c>
      <c r="B63" s="19">
        <v>44545</v>
      </c>
      <c r="C63" s="20" t="s">
        <v>25</v>
      </c>
      <c r="D63" s="20" t="s">
        <v>23</v>
      </c>
      <c r="E63" s="20">
        <v>10</v>
      </c>
      <c r="F63" s="20">
        <v>57</v>
      </c>
      <c r="G63" s="20">
        <v>576</v>
      </c>
      <c r="H63" s="20">
        <v>534978</v>
      </c>
      <c r="I63" s="20">
        <f t="shared" si="1"/>
        <v>-0.4381969370900789</v>
      </c>
      <c r="J63" s="21">
        <f t="shared" si="2"/>
        <v>5822.0122463118187</v>
      </c>
      <c r="K63" s="145"/>
      <c r="O63" s="2"/>
      <c r="P63" s="2"/>
      <c r="Q63" s="2"/>
    </row>
    <row r="64" spans="1:18" x14ac:dyDescent="0.3">
      <c r="A64" s="85">
        <v>44545</v>
      </c>
      <c r="B64" s="13">
        <v>44545</v>
      </c>
      <c r="C64" s="16" t="s">
        <v>25</v>
      </c>
      <c r="D64" s="16" t="s">
        <v>23</v>
      </c>
      <c r="E64" s="16">
        <v>20</v>
      </c>
      <c r="F64" s="16">
        <v>58</v>
      </c>
      <c r="G64" s="16">
        <v>215</v>
      </c>
      <c r="H64" s="16">
        <v>856025</v>
      </c>
      <c r="I64" s="16">
        <f t="shared" si="1"/>
        <v>-1.1386974270004944</v>
      </c>
      <c r="J64" s="17">
        <f t="shared" si="2"/>
        <v>10121.782502488617</v>
      </c>
      <c r="K64" s="145"/>
      <c r="O64" s="2"/>
      <c r="P64" s="2"/>
      <c r="Q64" s="2"/>
    </row>
    <row r="65" spans="1:17" x14ac:dyDescent="0.3">
      <c r="A65" s="85">
        <v>44545</v>
      </c>
      <c r="B65" s="13">
        <v>44545</v>
      </c>
      <c r="C65" s="16" t="s">
        <v>25</v>
      </c>
      <c r="D65" s="16" t="s">
        <v>23</v>
      </c>
      <c r="E65" s="16">
        <v>35</v>
      </c>
      <c r="F65" s="16">
        <v>59</v>
      </c>
      <c r="G65" s="16">
        <v>226</v>
      </c>
      <c r="H65" s="16">
        <v>1612612</v>
      </c>
      <c r="I65" s="16">
        <f t="shared" si="1"/>
        <v>-1.1173525367262158</v>
      </c>
      <c r="J65" s="17">
        <f t="shared" si="2"/>
        <v>20254.723407745591</v>
      </c>
      <c r="K65" s="145"/>
      <c r="O65" s="2"/>
      <c r="P65" s="2"/>
      <c r="Q65" s="2"/>
    </row>
    <row r="66" spans="1:17" x14ac:dyDescent="0.3">
      <c r="A66" s="85">
        <v>44545</v>
      </c>
      <c r="B66" s="13">
        <v>44545</v>
      </c>
      <c r="C66" s="16" t="s">
        <v>25</v>
      </c>
      <c r="D66" s="16" t="s">
        <v>23</v>
      </c>
      <c r="E66" s="16">
        <v>50</v>
      </c>
      <c r="F66" s="16">
        <v>60</v>
      </c>
      <c r="G66" s="16">
        <v>225</v>
      </c>
      <c r="H66" s="16">
        <v>1524771</v>
      </c>
      <c r="I66" s="16">
        <f t="shared" si="1"/>
        <v>-1.1192929812966046</v>
      </c>
      <c r="J66" s="17">
        <f t="shared" si="2"/>
        <v>19078.272236817887</v>
      </c>
      <c r="K66" s="145"/>
      <c r="O66" s="2"/>
      <c r="P66" s="2"/>
      <c r="Q66" s="2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P62"/>
  <sheetViews>
    <sheetView zoomScale="70" zoomScaleNormal="70" workbookViewId="0">
      <selection activeCell="E2" sqref="E2"/>
    </sheetView>
  </sheetViews>
  <sheetFormatPr defaultRowHeight="15" x14ac:dyDescent="0.25"/>
  <cols>
    <col min="1" max="3" width="11.140625" customWidth="1"/>
    <col min="4" max="5" width="9.140625" style="143"/>
    <col min="9" max="9" width="2.7109375" customWidth="1"/>
  </cols>
  <sheetData>
    <row r="1" spans="1:16" ht="33.75" thickBot="1" x14ac:dyDescent="0.35">
      <c r="A1" s="95" t="s">
        <v>1</v>
      </c>
      <c r="B1" s="96" t="s">
        <v>5</v>
      </c>
      <c r="C1" s="96" t="s">
        <v>2</v>
      </c>
      <c r="D1" s="134" t="s">
        <v>8</v>
      </c>
      <c r="E1" s="135" t="s">
        <v>9</v>
      </c>
      <c r="F1" s="97" t="s">
        <v>43</v>
      </c>
      <c r="G1" s="97" t="s">
        <v>44</v>
      </c>
      <c r="H1" s="97" t="s">
        <v>45</v>
      </c>
      <c r="I1" s="98"/>
      <c r="J1" s="99" t="s">
        <v>37</v>
      </c>
      <c r="K1" s="99" t="s">
        <v>38</v>
      </c>
      <c r="L1" s="99" t="s">
        <v>39</v>
      </c>
      <c r="M1" s="99" t="s">
        <v>40</v>
      </c>
      <c r="N1" s="99" t="s">
        <v>41</v>
      </c>
      <c r="O1" s="100" t="s">
        <v>42</v>
      </c>
    </row>
    <row r="2" spans="1:16" ht="16.5" x14ac:dyDescent="0.3">
      <c r="A2" s="92" t="s">
        <v>18</v>
      </c>
      <c r="B2" s="93" t="s">
        <v>19</v>
      </c>
      <c r="C2" s="93">
        <v>10</v>
      </c>
      <c r="D2" s="136">
        <f>('STDs and Samples'!I7)</f>
        <v>-0.11026180469434421</v>
      </c>
      <c r="E2" s="136">
        <f>('STDs and Samples'!J7)</f>
        <v>2130.6574657432629</v>
      </c>
      <c r="F2" s="94"/>
      <c r="G2" s="94"/>
      <c r="H2" s="94"/>
      <c r="I2" s="5"/>
      <c r="J2" s="5">
        <f>AVERAGE(D2:D6)</f>
        <v>0.15519101253486581</v>
      </c>
      <c r="K2" s="5">
        <f>STDEV(D2:D6)</f>
        <v>0.18642108614451791</v>
      </c>
      <c r="L2" s="5">
        <f>K2/SQRT(5)</f>
        <v>8.3370044211697247E-2</v>
      </c>
      <c r="M2" s="5">
        <f>AVERAGE(E2:E6)</f>
        <v>2700.102100660195</v>
      </c>
      <c r="N2" s="5">
        <f>STDEV(E2:E6)</f>
        <v>871.75027651438268</v>
      </c>
      <c r="O2" s="8">
        <f>N2/SQRT(5)</f>
        <v>389.85857553807961</v>
      </c>
    </row>
    <row r="3" spans="1:16" ht="16.5" x14ac:dyDescent="0.3">
      <c r="A3" s="90" t="s">
        <v>18</v>
      </c>
      <c r="B3" s="16" t="s">
        <v>20</v>
      </c>
      <c r="C3" s="16">
        <v>10</v>
      </c>
      <c r="D3" s="137">
        <f>('STDs and Samples'!I11)</f>
        <v>0.27394622024267035</v>
      </c>
      <c r="E3" s="137">
        <f>('STDs and Samples'!J11)</f>
        <v>3483.6010892897343</v>
      </c>
      <c r="F3" s="12"/>
      <c r="G3" s="12"/>
      <c r="H3" s="12"/>
      <c r="I3" s="6"/>
      <c r="J3" s="6"/>
      <c r="K3" s="6"/>
      <c r="L3" s="6"/>
      <c r="M3" s="6"/>
      <c r="N3" s="6"/>
      <c r="O3" s="10"/>
      <c r="P3" s="81"/>
    </row>
    <row r="4" spans="1:16" ht="16.5" x14ac:dyDescent="0.3">
      <c r="A4" s="90" t="s">
        <v>18</v>
      </c>
      <c r="B4" s="16" t="s">
        <v>21</v>
      </c>
      <c r="C4" s="16">
        <v>10</v>
      </c>
      <c r="D4" s="137">
        <f>('STDs and Samples'!I15)</f>
        <v>0.16722176887127738</v>
      </c>
      <c r="E4" s="137">
        <f>('STDs and Samples'!J15)</f>
        <v>3608.4234946932042</v>
      </c>
      <c r="F4" s="12"/>
      <c r="G4" s="12"/>
      <c r="H4" s="12"/>
      <c r="I4" s="6"/>
      <c r="J4" s="6"/>
      <c r="K4" s="6"/>
      <c r="L4" s="6"/>
      <c r="M4" s="6"/>
      <c r="N4" s="6"/>
      <c r="O4" s="10"/>
    </row>
    <row r="5" spans="1:16" ht="16.5" x14ac:dyDescent="0.3">
      <c r="A5" s="90" t="s">
        <v>18</v>
      </c>
      <c r="B5" s="16" t="s">
        <v>22</v>
      </c>
      <c r="C5" s="16">
        <v>10</v>
      </c>
      <c r="D5" s="137">
        <f>('STDs and Samples'!I19)</f>
        <v>7.2139984922218181E-2</v>
      </c>
      <c r="E5" s="137">
        <f>('STDs and Samples'!J19)</f>
        <v>2707.5726948376691</v>
      </c>
      <c r="F5" s="16"/>
      <c r="G5" s="16"/>
      <c r="H5" s="16"/>
      <c r="I5" s="6"/>
      <c r="J5" s="6"/>
      <c r="K5" s="6"/>
      <c r="L5" s="6"/>
      <c r="M5" s="6"/>
      <c r="N5" s="6"/>
      <c r="O5" s="10"/>
    </row>
    <row r="6" spans="1:16" ht="17.25" thickBot="1" x14ac:dyDescent="0.35">
      <c r="A6" s="110" t="s">
        <v>18</v>
      </c>
      <c r="B6" s="35" t="s">
        <v>23</v>
      </c>
      <c r="C6" s="35">
        <v>10</v>
      </c>
      <c r="D6" s="138">
        <f>('STDs and Samples'!I23)</f>
        <v>0.37290889333250732</v>
      </c>
      <c r="E6" s="138">
        <f>('STDs and Samples'!J23)</f>
        <v>1570.2557587371057</v>
      </c>
      <c r="F6" s="35"/>
      <c r="G6" s="35"/>
      <c r="H6" s="35"/>
      <c r="I6" s="111"/>
      <c r="J6" s="111"/>
      <c r="K6" s="111"/>
      <c r="L6" s="111"/>
      <c r="M6" s="111"/>
      <c r="N6" s="111"/>
      <c r="O6" s="112"/>
    </row>
    <row r="7" spans="1:16" ht="16.5" x14ac:dyDescent="0.3">
      <c r="A7" s="115" t="s">
        <v>18</v>
      </c>
      <c r="B7" s="116" t="s">
        <v>19</v>
      </c>
      <c r="C7" s="116">
        <v>20</v>
      </c>
      <c r="D7" s="139">
        <f>('STDs and Samples'!I8)</f>
        <v>-0.81270273917514868</v>
      </c>
      <c r="E7" s="139">
        <f>('STDs and Samples'!J8)</f>
        <v>5091.4663506526922</v>
      </c>
      <c r="F7" s="117"/>
      <c r="G7" s="117"/>
      <c r="H7" s="117"/>
      <c r="I7" s="117"/>
      <c r="J7" s="117">
        <f>AVERAGE(D7:D11)</f>
        <v>-0.58178983529886219</v>
      </c>
      <c r="K7" s="117">
        <f>STDEV(D7:D11)</f>
        <v>0.26031264609230653</v>
      </c>
      <c r="L7" s="117">
        <f>K7/SQRT(5)</f>
        <v>0.11641535441304847</v>
      </c>
      <c r="M7" s="117">
        <f>AVERAGE(E7:E11)</f>
        <v>6808.1628208470429</v>
      </c>
      <c r="N7" s="117">
        <f>STDEV(E7:E11)</f>
        <v>1302.9462811284795</v>
      </c>
      <c r="O7" s="118">
        <f>N7/SQRT(5)</f>
        <v>582.69529112676628</v>
      </c>
    </row>
    <row r="8" spans="1:16" ht="16.5" x14ac:dyDescent="0.3">
      <c r="A8" s="101" t="s">
        <v>18</v>
      </c>
      <c r="B8" s="102" t="s">
        <v>20</v>
      </c>
      <c r="C8" s="102">
        <v>20</v>
      </c>
      <c r="D8" s="140">
        <f>('STDs and Samples'!I12)</f>
        <v>-0.50805294162408154</v>
      </c>
      <c r="E8" s="140">
        <f>('STDs and Samples'!J12)</f>
        <v>8074.8423764531981</v>
      </c>
      <c r="F8" s="103"/>
      <c r="G8" s="103"/>
      <c r="H8" s="103"/>
      <c r="I8" s="103"/>
      <c r="J8" s="103"/>
      <c r="K8" s="103"/>
      <c r="L8" s="103"/>
      <c r="M8" s="103"/>
      <c r="N8" s="103"/>
      <c r="O8" s="104"/>
    </row>
    <row r="9" spans="1:16" ht="16.5" x14ac:dyDescent="0.3">
      <c r="A9" s="101" t="s">
        <v>18</v>
      </c>
      <c r="B9" s="102" t="s">
        <v>21</v>
      </c>
      <c r="C9" s="102">
        <v>20</v>
      </c>
      <c r="D9" s="140">
        <f>('STDs and Samples'!I16)</f>
        <v>-0.20340314407301441</v>
      </c>
      <c r="E9" s="140">
        <f>('STDs and Samples'!J16)</f>
        <v>8094.8246756873159</v>
      </c>
      <c r="F9" s="103"/>
      <c r="G9" s="103"/>
      <c r="H9" s="103"/>
      <c r="I9" s="103"/>
      <c r="J9" s="103"/>
      <c r="K9" s="103"/>
      <c r="L9" s="103"/>
      <c r="M9" s="103"/>
      <c r="N9" s="103"/>
      <c r="O9" s="104"/>
    </row>
    <row r="10" spans="1:16" ht="16.5" x14ac:dyDescent="0.3">
      <c r="A10" s="101" t="s">
        <v>18</v>
      </c>
      <c r="B10" s="102" t="s">
        <v>22</v>
      </c>
      <c r="C10" s="102">
        <v>20</v>
      </c>
      <c r="D10" s="140">
        <f>('STDs and Samples'!I20)</f>
        <v>-0.54298094389108287</v>
      </c>
      <c r="E10" s="140">
        <f>('STDs and Samples'!J20)</f>
        <v>6048.0318722333795</v>
      </c>
      <c r="F10" s="102"/>
      <c r="G10" s="102"/>
      <c r="H10" s="102"/>
      <c r="I10" s="103"/>
      <c r="J10" s="103"/>
      <c r="K10" s="103"/>
      <c r="L10" s="103"/>
      <c r="M10" s="103"/>
      <c r="N10" s="103"/>
      <c r="O10" s="104"/>
    </row>
    <row r="11" spans="1:16" ht="17.25" thickBot="1" x14ac:dyDescent="0.35">
      <c r="A11" s="106" t="s">
        <v>18</v>
      </c>
      <c r="B11" s="107" t="s">
        <v>23</v>
      </c>
      <c r="C11" s="107">
        <v>20</v>
      </c>
      <c r="D11" s="141">
        <f>('STDs and Samples'!I24)</f>
        <v>-0.84180940773098312</v>
      </c>
      <c r="E11" s="141">
        <f>('STDs and Samples'!J24)</f>
        <v>6731.6488292086287</v>
      </c>
      <c r="F11" s="107"/>
      <c r="G11" s="107"/>
      <c r="H11" s="107"/>
      <c r="I11" s="108"/>
      <c r="J11" s="108"/>
      <c r="K11" s="108"/>
      <c r="L11" s="108"/>
      <c r="M11" s="108"/>
      <c r="N11" s="108"/>
      <c r="O11" s="109"/>
    </row>
    <row r="12" spans="1:16" ht="16.5" x14ac:dyDescent="0.3">
      <c r="A12" s="92" t="s">
        <v>18</v>
      </c>
      <c r="B12" s="93" t="s">
        <v>19</v>
      </c>
      <c r="C12" s="93">
        <v>35</v>
      </c>
      <c r="D12" s="136">
        <f>('STDs and Samples'!I9)</f>
        <v>-0.87091607628681755</v>
      </c>
      <c r="E12" s="136">
        <f>('STDs and Samples'!J9)</f>
        <v>6499.2005815495486</v>
      </c>
      <c r="F12" s="94"/>
      <c r="G12" s="94"/>
      <c r="H12" s="94"/>
      <c r="I12" s="5"/>
      <c r="J12" s="5">
        <f>AVERAGE(D12:D16)</f>
        <v>-0.58140174638478437</v>
      </c>
      <c r="K12" s="5">
        <f>STDEV(D12:D16)</f>
        <v>0.35173307809129845</v>
      </c>
      <c r="L12" s="5">
        <f>K12/SQRT(5)</f>
        <v>0.15729981450947705</v>
      </c>
      <c r="M12" s="5">
        <f>AVERAGE(E12:E16)</f>
        <v>8195.6361789011571</v>
      </c>
      <c r="N12" s="5">
        <f>STDEV(E12:E16)</f>
        <v>2013.2410948495055</v>
      </c>
      <c r="O12" s="8">
        <f>N12/SQRT(5)</f>
        <v>900.34878863591916</v>
      </c>
    </row>
    <row r="13" spans="1:16" ht="16.5" x14ac:dyDescent="0.3">
      <c r="A13" s="90" t="s">
        <v>18</v>
      </c>
      <c r="B13" s="16" t="s">
        <v>20</v>
      </c>
      <c r="C13" s="16">
        <v>35</v>
      </c>
      <c r="D13" s="137">
        <f>('STDs and Samples'!I13)</f>
        <v>-0.3450555977114087</v>
      </c>
      <c r="E13" s="137">
        <f>('STDs and Samples'!J13)</f>
        <v>9529.3180445665912</v>
      </c>
      <c r="F13" s="12"/>
      <c r="G13" s="12"/>
      <c r="H13" s="12"/>
      <c r="I13" s="6"/>
      <c r="J13" s="6"/>
      <c r="K13" s="6"/>
      <c r="L13" s="6"/>
      <c r="M13" s="6"/>
      <c r="N13" s="6"/>
      <c r="O13" s="10"/>
    </row>
    <row r="14" spans="1:16" ht="16.5" x14ac:dyDescent="0.3">
      <c r="A14" s="90" t="s">
        <v>18</v>
      </c>
      <c r="B14" s="16" t="s">
        <v>21</v>
      </c>
      <c r="C14" s="16">
        <v>35</v>
      </c>
      <c r="D14" s="137">
        <f>('STDs and Samples'!I17)</f>
        <v>-9.667869270162166E-2</v>
      </c>
      <c r="E14" s="137">
        <f>('STDs and Samples'!J17)</f>
        <v>5757.4179908117185</v>
      </c>
      <c r="F14" s="12"/>
      <c r="G14" s="12"/>
      <c r="H14" s="12"/>
      <c r="I14" s="6"/>
      <c r="J14" s="6"/>
      <c r="K14" s="6"/>
      <c r="L14" s="6"/>
      <c r="M14" s="6"/>
      <c r="N14" s="6"/>
      <c r="O14" s="10"/>
    </row>
    <row r="15" spans="1:16" ht="16.5" x14ac:dyDescent="0.3">
      <c r="A15" s="90" t="s">
        <v>18</v>
      </c>
      <c r="B15" s="16" t="s">
        <v>22</v>
      </c>
      <c r="C15" s="16">
        <v>35</v>
      </c>
      <c r="D15" s="137">
        <f>('STDs and Samples'!I21)</f>
        <v>-0.68075250838869927</v>
      </c>
      <c r="E15" s="137">
        <f>('STDs and Samples'!J21)</f>
        <v>8677.3381628781426</v>
      </c>
      <c r="F15" s="16"/>
      <c r="G15" s="16"/>
      <c r="H15" s="16"/>
      <c r="I15" s="6"/>
      <c r="J15" s="6"/>
      <c r="K15" s="6"/>
      <c r="L15" s="6"/>
      <c r="M15" s="6"/>
      <c r="N15" s="6"/>
      <c r="O15" s="10"/>
    </row>
    <row r="16" spans="1:16" ht="17.25" thickBot="1" x14ac:dyDescent="0.35">
      <c r="A16" s="110" t="s">
        <v>18</v>
      </c>
      <c r="B16" s="35" t="s">
        <v>23</v>
      </c>
      <c r="C16" s="35">
        <v>35</v>
      </c>
      <c r="D16" s="138">
        <f>('STDs and Samples'!I25)</f>
        <v>-0.91360585683537476</v>
      </c>
      <c r="E16" s="138">
        <f>('STDs and Samples'!J25)</f>
        <v>10514.906114699781</v>
      </c>
      <c r="F16" s="35"/>
      <c r="G16" s="35"/>
      <c r="H16" s="35"/>
      <c r="I16" s="111"/>
      <c r="J16" s="111"/>
      <c r="K16" s="111"/>
      <c r="L16" s="111"/>
      <c r="M16" s="111"/>
      <c r="N16" s="111"/>
      <c r="O16" s="112"/>
    </row>
    <row r="17" spans="1:15" ht="16.5" x14ac:dyDescent="0.3">
      <c r="A17" s="115" t="s">
        <v>18</v>
      </c>
      <c r="B17" s="116" t="s">
        <v>19</v>
      </c>
      <c r="C17" s="116">
        <v>50</v>
      </c>
      <c r="D17" s="139">
        <f>('STDs and Samples'!I10)</f>
        <v>-0.92912941339848643</v>
      </c>
      <c r="E17" s="139">
        <f>('STDs and Samples'!J10)</f>
        <v>10675.393977784523</v>
      </c>
      <c r="F17" s="117"/>
      <c r="G17" s="117"/>
      <c r="H17" s="117"/>
      <c r="I17" s="117"/>
      <c r="J17" s="117">
        <f>AVERAGE(D17:D21)</f>
        <v>-0.65203392874694255</v>
      </c>
      <c r="K17" s="117">
        <f>STDEV(D17:D21)</f>
        <v>0.25418120371308806</v>
      </c>
      <c r="L17" s="117">
        <f>K17/SQRT(5)</f>
        <v>0.11367329002103736</v>
      </c>
      <c r="M17" s="117">
        <f>AVERAGE(E17:E21)</f>
        <v>10465.700372483863</v>
      </c>
      <c r="N17" s="117">
        <f>STDEV(E17:E21)</f>
        <v>1280.0851941694666</v>
      </c>
      <c r="O17" s="118">
        <f>N17/SQRT(5)</f>
        <v>572.47150223078893</v>
      </c>
    </row>
    <row r="18" spans="1:15" ht="16.5" x14ac:dyDescent="0.3">
      <c r="A18" s="101" t="s">
        <v>18</v>
      </c>
      <c r="B18" s="102" t="s">
        <v>20</v>
      </c>
      <c r="C18" s="102">
        <v>50</v>
      </c>
      <c r="D18" s="140">
        <f>('STDs and Samples'!I14)</f>
        <v>-0.55268316674302764</v>
      </c>
      <c r="E18" s="140">
        <f>('STDs and Samples'!J14)</f>
        <v>11303.69800189321</v>
      </c>
      <c r="F18" s="103"/>
      <c r="G18" s="103"/>
      <c r="H18" s="103"/>
      <c r="I18" s="103"/>
      <c r="J18" s="103"/>
      <c r="K18" s="103"/>
      <c r="L18" s="103"/>
      <c r="M18" s="103"/>
      <c r="N18" s="103"/>
      <c r="O18" s="104"/>
    </row>
    <row r="19" spans="1:15" ht="16.5" x14ac:dyDescent="0.3">
      <c r="A19" s="101" t="s">
        <v>18</v>
      </c>
      <c r="B19" s="102" t="s">
        <v>21</v>
      </c>
      <c r="C19" s="102">
        <v>50</v>
      </c>
      <c r="D19" s="140">
        <f>('STDs and Samples'!I18)</f>
        <v>-0.2984849280220736</v>
      </c>
      <c r="E19" s="140">
        <f>('STDs and Samples'!J18)</f>
        <v>9201.4449429912311</v>
      </c>
      <c r="F19" s="103"/>
      <c r="G19" s="103"/>
      <c r="H19" s="103"/>
      <c r="I19" s="103"/>
      <c r="J19" s="103"/>
      <c r="K19" s="103"/>
      <c r="L19" s="103"/>
      <c r="M19" s="103"/>
      <c r="N19" s="103"/>
      <c r="O19" s="104"/>
    </row>
    <row r="20" spans="1:15" ht="16.5" x14ac:dyDescent="0.3">
      <c r="A20" s="101" t="s">
        <v>18</v>
      </c>
      <c r="B20" s="102" t="s">
        <v>22</v>
      </c>
      <c r="C20" s="102">
        <v>50</v>
      </c>
      <c r="D20" s="140">
        <f>('STDs and Samples'!I22)</f>
        <v>-0.86509474257565067</v>
      </c>
      <c r="E20" s="140">
        <f>('STDs and Samples'!J22)</f>
        <v>12020.783970789409</v>
      </c>
      <c r="F20" s="102"/>
      <c r="G20" s="102"/>
      <c r="H20" s="102"/>
      <c r="I20" s="103"/>
      <c r="J20" s="103"/>
      <c r="K20" s="103"/>
      <c r="L20" s="103"/>
      <c r="M20" s="103"/>
      <c r="N20" s="103"/>
      <c r="O20" s="104"/>
    </row>
    <row r="21" spans="1:15" ht="17.25" thickBot="1" x14ac:dyDescent="0.35">
      <c r="A21" s="106" t="s">
        <v>18</v>
      </c>
      <c r="B21" s="107" t="s">
        <v>23</v>
      </c>
      <c r="C21" s="107">
        <v>50</v>
      </c>
      <c r="D21" s="141">
        <f>('STDs and Samples'!I26)</f>
        <v>-0.61477739299547451</v>
      </c>
      <c r="E21" s="141">
        <f>('STDs and Samples'!J26)</f>
        <v>9127.180968960949</v>
      </c>
      <c r="F21" s="107"/>
      <c r="G21" s="107"/>
      <c r="H21" s="107"/>
      <c r="I21" s="108"/>
      <c r="J21" s="108"/>
      <c r="K21" s="108"/>
      <c r="L21" s="108"/>
      <c r="M21" s="108"/>
      <c r="N21" s="108"/>
      <c r="O21" s="109"/>
    </row>
    <row r="22" spans="1:15" ht="16.5" x14ac:dyDescent="0.3">
      <c r="A22" s="114" t="s">
        <v>24</v>
      </c>
      <c r="B22" s="93" t="s">
        <v>19</v>
      </c>
      <c r="C22" s="93">
        <v>10</v>
      </c>
      <c r="D22" s="136">
        <f>('STDs and Samples'!I27)</f>
        <v>-0.42849471423813412</v>
      </c>
      <c r="E22" s="136">
        <f>('STDs and Samples'!J27)</f>
        <v>4999.4299161105628</v>
      </c>
      <c r="F22" s="93"/>
      <c r="G22" s="93"/>
      <c r="H22" s="93"/>
      <c r="I22" s="5"/>
      <c r="J22" s="5">
        <f>AVERAGE(D22:D26)</f>
        <v>-0.26278074792691675</v>
      </c>
      <c r="K22" s="5">
        <f>STDEV(D22:D26)</f>
        <v>0.32737663547770002</v>
      </c>
      <c r="L22" s="5">
        <f>K22/SQRT(5)</f>
        <v>0.14640728223466132</v>
      </c>
      <c r="M22" s="5">
        <f>AVERAGE(E22:E26)</f>
        <v>4372.2080433276897</v>
      </c>
      <c r="N22" s="5">
        <f>STDEV(E22:E26)</f>
        <v>1403.1398127161856</v>
      </c>
      <c r="O22" s="8">
        <f>N22/SQRT(5)</f>
        <v>627.50320063394292</v>
      </c>
    </row>
    <row r="23" spans="1:15" ht="16.5" x14ac:dyDescent="0.3">
      <c r="A23" s="91" t="s">
        <v>24</v>
      </c>
      <c r="B23" s="16" t="s">
        <v>20</v>
      </c>
      <c r="C23" s="16">
        <v>10</v>
      </c>
      <c r="D23" s="137">
        <f>('STDs and Samples'!I31)</f>
        <v>-0.75448940206347981</v>
      </c>
      <c r="E23" s="137">
        <f>('STDs and Samples'!J31)</f>
        <v>6477.6245198430042</v>
      </c>
      <c r="F23" s="12"/>
      <c r="G23" s="12"/>
      <c r="H23" s="12"/>
      <c r="I23" s="6"/>
      <c r="J23" s="6"/>
      <c r="K23" s="6"/>
      <c r="L23" s="6"/>
      <c r="M23" s="6"/>
      <c r="N23" s="6"/>
      <c r="O23" s="10"/>
    </row>
    <row r="24" spans="1:15" ht="16.5" x14ac:dyDescent="0.3">
      <c r="A24" s="91" t="s">
        <v>24</v>
      </c>
      <c r="B24" s="16" t="s">
        <v>21</v>
      </c>
      <c r="C24" s="16">
        <v>10</v>
      </c>
      <c r="D24" s="137">
        <f>('STDs and Samples'!I35)</f>
        <v>-8.1155136138509887E-2</v>
      </c>
      <c r="E24" s="137">
        <f>('STDs and Samples'!J35)</f>
        <v>3250.7778386959667</v>
      </c>
      <c r="F24" s="12"/>
      <c r="G24" s="12"/>
      <c r="H24" s="12"/>
      <c r="I24" s="6"/>
      <c r="J24" s="6"/>
      <c r="K24" s="6"/>
      <c r="L24" s="6"/>
      <c r="M24" s="6"/>
      <c r="N24" s="6"/>
      <c r="O24" s="10"/>
    </row>
    <row r="25" spans="1:15" ht="16.5" x14ac:dyDescent="0.3">
      <c r="A25" s="91" t="s">
        <v>24</v>
      </c>
      <c r="B25" s="16" t="s">
        <v>22</v>
      </c>
      <c r="C25" s="16">
        <v>10</v>
      </c>
      <c r="D25" s="137">
        <f>('STDs and Samples'!I39)</f>
        <v>5.6616428359106408E-2</v>
      </c>
      <c r="E25" s="137">
        <f>('STDs and Samples'!J39)</f>
        <v>4063.3020544703982</v>
      </c>
      <c r="F25" s="12"/>
      <c r="G25" s="12"/>
      <c r="H25" s="12"/>
      <c r="I25" s="6"/>
      <c r="J25" s="6"/>
      <c r="K25" s="6"/>
      <c r="L25" s="6"/>
      <c r="M25" s="6"/>
      <c r="N25" s="6"/>
      <c r="O25" s="10"/>
    </row>
    <row r="26" spans="1:15" ht="17.25" thickBot="1" x14ac:dyDescent="0.35">
      <c r="A26" s="113" t="s">
        <v>24</v>
      </c>
      <c r="B26" s="35" t="s">
        <v>23</v>
      </c>
      <c r="C26" s="35">
        <v>10</v>
      </c>
      <c r="D26" s="138">
        <f>('STDs and Samples'!I43)</f>
        <v>-0.10638091555356644</v>
      </c>
      <c r="E26" s="138">
        <f>('STDs and Samples'!J43)</f>
        <v>3069.9058875185133</v>
      </c>
      <c r="F26" s="46"/>
      <c r="G26" s="46"/>
      <c r="H26" s="46"/>
      <c r="I26" s="111"/>
      <c r="J26" s="111"/>
      <c r="K26" s="111"/>
      <c r="L26" s="111"/>
      <c r="M26" s="111"/>
      <c r="N26" s="111"/>
      <c r="O26" s="112"/>
    </row>
    <row r="27" spans="1:15" ht="16.5" x14ac:dyDescent="0.3">
      <c r="A27" s="119" t="s">
        <v>24</v>
      </c>
      <c r="B27" s="116" t="s">
        <v>19</v>
      </c>
      <c r="C27" s="116">
        <v>20</v>
      </c>
      <c r="D27" s="139">
        <f>('STDs and Samples'!I28)</f>
        <v>-1.0028663070732668</v>
      </c>
      <c r="E27" s="139">
        <f>('STDs and Samples'!J28)</f>
        <v>8271.8930256700696</v>
      </c>
      <c r="F27" s="116"/>
      <c r="G27" s="116"/>
      <c r="H27" s="116"/>
      <c r="I27" s="117"/>
      <c r="J27" s="117">
        <f>AVERAGE(D27:D31)</f>
        <v>-0.79446256021349249</v>
      </c>
      <c r="K27" s="117">
        <f>STDEV(D27:D31)</f>
        <v>0.17381119964364355</v>
      </c>
      <c r="L27" s="117">
        <f>K27/SQRT(5)</f>
        <v>7.7730731530794836E-2</v>
      </c>
      <c r="M27" s="117">
        <f>AVERAGE(E27:E31)</f>
        <v>7163.8772117306344</v>
      </c>
      <c r="N27" s="117">
        <f>STDEV(E27:E31)</f>
        <v>1649.7178884226025</v>
      </c>
      <c r="O27" s="118">
        <f>N27/SQRT(5)</f>
        <v>737.77626844207043</v>
      </c>
    </row>
    <row r="28" spans="1:15" ht="16.5" x14ac:dyDescent="0.3">
      <c r="A28" s="105" t="s">
        <v>24</v>
      </c>
      <c r="B28" s="102" t="s">
        <v>20</v>
      </c>
      <c r="C28" s="102">
        <v>20</v>
      </c>
      <c r="D28" s="140">
        <f>('STDs and Samples'!I32)</f>
        <v>-0.95241474824315397</v>
      </c>
      <c r="E28" s="140">
        <f>('STDs and Samples'!J32)</f>
        <v>8760.053095900872</v>
      </c>
      <c r="F28" s="103"/>
      <c r="G28" s="103"/>
      <c r="H28" s="103"/>
      <c r="I28" s="103"/>
      <c r="J28" s="103"/>
      <c r="K28" s="103"/>
      <c r="L28" s="103"/>
      <c r="M28" s="103"/>
      <c r="N28" s="103"/>
      <c r="O28" s="104"/>
    </row>
    <row r="29" spans="1:15" ht="16.5" x14ac:dyDescent="0.3">
      <c r="A29" s="105" t="s">
        <v>24</v>
      </c>
      <c r="B29" s="102" t="s">
        <v>21</v>
      </c>
      <c r="C29" s="102">
        <v>20</v>
      </c>
      <c r="D29" s="140">
        <f>('STDs and Samples'!I36)</f>
        <v>-0.73314451178920126</v>
      </c>
      <c r="E29" s="140">
        <f>('STDs and Samples'!J36)</f>
        <v>6820.4709528819985</v>
      </c>
      <c r="F29" s="103"/>
      <c r="G29" s="103"/>
      <c r="H29" s="103"/>
      <c r="I29" s="103"/>
      <c r="J29" s="103"/>
      <c r="K29" s="103"/>
      <c r="L29" s="103"/>
      <c r="M29" s="103"/>
      <c r="N29" s="103"/>
      <c r="O29" s="104"/>
    </row>
    <row r="30" spans="1:15" ht="16.5" x14ac:dyDescent="0.3">
      <c r="A30" s="105" t="s">
        <v>24</v>
      </c>
      <c r="B30" s="102" t="s">
        <v>22</v>
      </c>
      <c r="C30" s="102">
        <v>20</v>
      </c>
      <c r="D30" s="140">
        <f>('STDs and Samples'!I40)</f>
        <v>-0.60895605928430763</v>
      </c>
      <c r="E30" s="140">
        <f>('STDs and Samples'!J40)</f>
        <v>7433.6945018314273</v>
      </c>
      <c r="F30" s="103"/>
      <c r="G30" s="103"/>
      <c r="H30" s="103"/>
      <c r="I30" s="103"/>
      <c r="J30" s="103"/>
      <c r="K30" s="103"/>
      <c r="L30" s="103"/>
      <c r="M30" s="103"/>
      <c r="N30" s="103"/>
      <c r="O30" s="104"/>
    </row>
    <row r="31" spans="1:15" ht="17.25" thickBot="1" x14ac:dyDescent="0.35">
      <c r="A31" s="120" t="s">
        <v>24</v>
      </c>
      <c r="B31" s="107" t="s">
        <v>23</v>
      </c>
      <c r="C31" s="107">
        <v>20</v>
      </c>
      <c r="D31" s="141">
        <f>('STDs and Samples'!I44)</f>
        <v>-0.67493117467753239</v>
      </c>
      <c r="E31" s="141">
        <f>('STDs and Samples'!J44)</f>
        <v>4533.2744823688063</v>
      </c>
      <c r="F31" s="108"/>
      <c r="G31" s="108"/>
      <c r="H31" s="108"/>
      <c r="I31" s="108"/>
      <c r="J31" s="108"/>
      <c r="K31" s="108"/>
      <c r="L31" s="108"/>
      <c r="M31" s="108"/>
      <c r="N31" s="108"/>
      <c r="O31" s="109"/>
    </row>
    <row r="32" spans="1:15" ht="16.5" x14ac:dyDescent="0.3">
      <c r="A32" s="114" t="s">
        <v>24</v>
      </c>
      <c r="B32" s="93" t="s">
        <v>19</v>
      </c>
      <c r="C32" s="93">
        <v>35</v>
      </c>
      <c r="D32" s="136">
        <f>('STDs and Samples'!I29)</f>
        <v>-0.55268316674302764</v>
      </c>
      <c r="E32" s="136">
        <f>('STDs and Samples'!J29)</f>
        <v>7990.4265372624177</v>
      </c>
      <c r="F32" s="93"/>
      <c r="G32" s="93"/>
      <c r="H32" s="93"/>
      <c r="I32" s="5"/>
      <c r="J32" s="5">
        <f>AVERAGE(D32:D36)</f>
        <v>-0.62797241607411947</v>
      </c>
      <c r="K32" s="5">
        <f>STDEV(D32:D36)</f>
        <v>0.28116834254184792</v>
      </c>
      <c r="L32" s="5">
        <f>K32/SQRT(5)</f>
        <v>0.12574230540890358</v>
      </c>
      <c r="M32" s="5">
        <f>AVERAGE(E32:E36)</f>
        <v>8220.2015497156481</v>
      </c>
      <c r="N32" s="5">
        <f>STDEV(E32:E36)</f>
        <v>2309.4397259183511</v>
      </c>
      <c r="O32" s="8">
        <f>N32/SQRT(5)</f>
        <v>1032.8128434183832</v>
      </c>
    </row>
    <row r="33" spans="1:15" ht="16.5" x14ac:dyDescent="0.3">
      <c r="A33" s="91" t="s">
        <v>24</v>
      </c>
      <c r="B33" s="16" t="s">
        <v>20</v>
      </c>
      <c r="C33" s="16">
        <v>35</v>
      </c>
      <c r="D33" s="137">
        <f>('STDs and Samples'!I33)</f>
        <v>-1.0824245344592145</v>
      </c>
      <c r="E33" s="137">
        <f>('STDs and Samples'!J33)</f>
        <v>12168.695842600131</v>
      </c>
      <c r="F33" s="12"/>
      <c r="G33" s="12"/>
      <c r="H33" s="12"/>
      <c r="I33" s="6"/>
      <c r="J33" s="6"/>
      <c r="K33" s="6"/>
      <c r="L33" s="6"/>
      <c r="M33" s="6"/>
      <c r="N33" s="6"/>
      <c r="O33" s="10"/>
    </row>
    <row r="34" spans="1:15" ht="16.5" x14ac:dyDescent="0.3">
      <c r="A34" s="91" t="s">
        <v>24</v>
      </c>
      <c r="B34" s="16" t="s">
        <v>21</v>
      </c>
      <c r="C34" s="16">
        <v>35</v>
      </c>
      <c r="D34" s="137">
        <f>('STDs and Samples'!I37)</f>
        <v>-0.31982981829635215</v>
      </c>
      <c r="E34" s="137">
        <f>('STDs and Samples'!J37)</f>
        <v>7318.2337768332181</v>
      </c>
      <c r="F34" s="12"/>
      <c r="G34" s="12"/>
      <c r="H34" s="12"/>
      <c r="I34" s="6"/>
      <c r="J34" s="6"/>
      <c r="K34" s="6"/>
      <c r="L34" s="6"/>
      <c r="M34" s="6"/>
      <c r="N34" s="6"/>
      <c r="O34" s="10"/>
    </row>
    <row r="35" spans="1:15" ht="16.5" x14ac:dyDescent="0.3">
      <c r="A35" s="91" t="s">
        <v>24</v>
      </c>
      <c r="B35" s="16" t="s">
        <v>22</v>
      </c>
      <c r="C35" s="16">
        <v>35</v>
      </c>
      <c r="D35" s="137">
        <f>('STDs and Samples'!I41)</f>
        <v>-0.64970539526247584</v>
      </c>
      <c r="E35" s="137">
        <f>('STDs and Samples'!J41)</f>
        <v>7486.3824141551668</v>
      </c>
      <c r="F35" s="12"/>
      <c r="G35" s="12"/>
      <c r="H35" s="12"/>
      <c r="I35" s="6"/>
      <c r="J35" s="6"/>
      <c r="K35" s="6"/>
      <c r="L35" s="6"/>
      <c r="M35" s="6"/>
      <c r="N35" s="6"/>
      <c r="O35" s="10"/>
    </row>
    <row r="36" spans="1:15" ht="17.25" thickBot="1" x14ac:dyDescent="0.35">
      <c r="A36" s="113" t="s">
        <v>24</v>
      </c>
      <c r="B36" s="35" t="s">
        <v>23</v>
      </c>
      <c r="C36" s="35">
        <v>35</v>
      </c>
      <c r="D36" s="138">
        <f>('STDs and Samples'!I45)</f>
        <v>-0.53521916560952709</v>
      </c>
      <c r="E36" s="138">
        <f>('STDs and Samples'!J45)</f>
        <v>6137.2691777272994</v>
      </c>
      <c r="F36" s="46"/>
      <c r="G36" s="46"/>
      <c r="H36" s="46"/>
      <c r="I36" s="111"/>
      <c r="J36" s="111"/>
      <c r="K36" s="111"/>
      <c r="L36" s="111"/>
      <c r="M36" s="111"/>
      <c r="N36" s="111"/>
      <c r="O36" s="112"/>
    </row>
    <row r="37" spans="1:15" ht="16.5" x14ac:dyDescent="0.3">
      <c r="A37" s="119" t="s">
        <v>24</v>
      </c>
      <c r="B37" s="116" t="s">
        <v>19</v>
      </c>
      <c r="C37" s="116">
        <v>50</v>
      </c>
      <c r="D37" s="139">
        <f>('STDs and Samples'!I30)</f>
        <v>-0.92136763511693054</v>
      </c>
      <c r="E37" s="139">
        <f>('STDs and Samples'!J30)</f>
        <v>15263.688813318289</v>
      </c>
      <c r="F37" s="116"/>
      <c r="G37" s="116"/>
      <c r="H37" s="116"/>
      <c r="I37" s="117"/>
      <c r="J37" s="117">
        <f>AVERAGE(D37:D41)</f>
        <v>-0.93417456928149778</v>
      </c>
      <c r="K37" s="117">
        <f>STDEV(D37:D41)</f>
        <v>0.14872339901836659</v>
      </c>
      <c r="L37" s="117">
        <f>K37/SQRT(5)</f>
        <v>6.6511126009978633E-2</v>
      </c>
      <c r="M37" s="117">
        <f>AVERAGE(E37:E41)</f>
        <v>13454.347868109133</v>
      </c>
      <c r="N37" s="117">
        <f>STDEV(E37:E41)</f>
        <v>2130.4408782187629</v>
      </c>
      <c r="O37" s="118">
        <f>N37/SQRT(5)</f>
        <v>952.76212514830092</v>
      </c>
    </row>
    <row r="38" spans="1:15" ht="16.5" x14ac:dyDescent="0.3">
      <c r="A38" s="105" t="s">
        <v>24</v>
      </c>
      <c r="B38" s="102" t="s">
        <v>20</v>
      </c>
      <c r="C38" s="102">
        <v>50</v>
      </c>
      <c r="D38" s="140">
        <f>('STDs and Samples'!I34)</f>
        <v>-1.0436156430514352</v>
      </c>
      <c r="E38" s="140">
        <f>('STDs and Samples'!J34)</f>
        <v>12812.388379993003</v>
      </c>
      <c r="F38" s="103"/>
      <c r="G38" s="103"/>
      <c r="H38" s="103"/>
      <c r="I38" s="103"/>
      <c r="J38" s="103"/>
      <c r="K38" s="103"/>
      <c r="L38" s="103"/>
      <c r="M38" s="103"/>
      <c r="N38" s="103"/>
      <c r="O38" s="104"/>
    </row>
    <row r="39" spans="1:15" ht="16.5" x14ac:dyDescent="0.3">
      <c r="A39" s="105" t="s">
        <v>24</v>
      </c>
      <c r="B39" s="102" t="s">
        <v>21</v>
      </c>
      <c r="C39" s="102">
        <v>50</v>
      </c>
      <c r="D39" s="140">
        <f>('STDs and Samples'!I38)</f>
        <v>-0.93495074710965331</v>
      </c>
      <c r="E39" s="140">
        <f>('STDs and Samples'!J38)</f>
        <v>15944.962001951733</v>
      </c>
      <c r="F39" s="103"/>
      <c r="G39" s="103"/>
      <c r="H39" s="103"/>
      <c r="I39" s="103"/>
      <c r="J39" s="103"/>
      <c r="K39" s="103"/>
      <c r="L39" s="103"/>
      <c r="M39" s="103"/>
      <c r="N39" s="103"/>
      <c r="O39" s="104"/>
    </row>
    <row r="40" spans="1:15" ht="16.5" x14ac:dyDescent="0.3">
      <c r="A40" s="105" t="s">
        <v>24</v>
      </c>
      <c r="B40" s="102" t="s">
        <v>22</v>
      </c>
      <c r="C40" s="102">
        <v>50</v>
      </c>
      <c r="D40" s="140">
        <f>('STDs and Samples'!I42)</f>
        <v>-0.69627606495181094</v>
      </c>
      <c r="E40" s="140">
        <f>('STDs and Samples'!J42)</f>
        <v>10737.751608638444</v>
      </c>
      <c r="F40" s="103"/>
      <c r="G40" s="103"/>
      <c r="H40" s="103"/>
      <c r="I40" s="103"/>
      <c r="J40" s="103"/>
      <c r="K40" s="103"/>
      <c r="L40" s="103"/>
      <c r="M40" s="103"/>
      <c r="N40" s="103"/>
      <c r="O40" s="104"/>
    </row>
    <row r="41" spans="1:15" ht="17.25" thickBot="1" x14ac:dyDescent="0.35">
      <c r="A41" s="120" t="s">
        <v>24</v>
      </c>
      <c r="B41" s="107" t="s">
        <v>23</v>
      </c>
      <c r="C41" s="107">
        <v>50</v>
      </c>
      <c r="D41" s="141">
        <f>('STDs and Samples'!I46)</f>
        <v>-1.0746627561776587</v>
      </c>
      <c r="E41" s="141">
        <f>('STDs and Samples'!J46)</f>
        <v>12512.948536644208</v>
      </c>
      <c r="F41" s="108"/>
      <c r="G41" s="108"/>
      <c r="H41" s="108"/>
      <c r="I41" s="108"/>
      <c r="J41" s="108"/>
      <c r="K41" s="108"/>
      <c r="L41" s="108"/>
      <c r="M41" s="108"/>
      <c r="N41" s="108"/>
      <c r="O41" s="109"/>
    </row>
    <row r="42" spans="1:15" ht="16.5" x14ac:dyDescent="0.3">
      <c r="A42" s="92" t="s">
        <v>25</v>
      </c>
      <c r="B42" s="93" t="s">
        <v>19</v>
      </c>
      <c r="C42" s="93">
        <v>10</v>
      </c>
      <c r="D42" s="136">
        <f>('STDs and Samples'!I47)</f>
        <v>9.3484875196496731E-2</v>
      </c>
      <c r="E42" s="136">
        <f>('STDs and Samples'!J47)</f>
        <v>2246.1851555512385</v>
      </c>
      <c r="F42" s="94"/>
      <c r="G42" s="94"/>
      <c r="H42" s="94"/>
      <c r="I42" s="5"/>
      <c r="J42" s="5">
        <f>AVERAGE(D42:D46)</f>
        <v>-0.20185078841670334</v>
      </c>
      <c r="K42" s="5">
        <f>STDEV(D42:D46)</f>
        <v>0.20224608762689375</v>
      </c>
      <c r="L42" s="5">
        <f>K42/SQRT(5)</f>
        <v>9.04472000234227E-2</v>
      </c>
      <c r="M42" s="5">
        <f>AVERAGE(E42:E46)</f>
        <v>4007.4051884626811</v>
      </c>
      <c r="N42" s="5">
        <f>STDEV(E42:E46)</f>
        <v>2065.8234166520665</v>
      </c>
      <c r="O42" s="8">
        <f>N42/SQRT(5)</f>
        <v>923.8643178289783</v>
      </c>
    </row>
    <row r="43" spans="1:15" ht="16.5" x14ac:dyDescent="0.3">
      <c r="A43" s="90" t="s">
        <v>25</v>
      </c>
      <c r="B43" s="16" t="s">
        <v>20</v>
      </c>
      <c r="C43" s="16">
        <v>10</v>
      </c>
      <c r="D43" s="137">
        <f>('STDs and Samples'!I51)</f>
        <v>-0.28684226059973983</v>
      </c>
      <c r="E43" s="137">
        <f>('STDs and Samples'!J51)</f>
        <v>6357.0878622645469</v>
      </c>
      <c r="F43" s="12"/>
      <c r="G43" s="12"/>
      <c r="H43" s="12"/>
      <c r="I43" s="6"/>
      <c r="J43" s="6"/>
      <c r="K43" s="6"/>
      <c r="L43" s="6"/>
      <c r="M43" s="6"/>
      <c r="N43" s="6"/>
      <c r="O43" s="10"/>
    </row>
    <row r="44" spans="1:15" ht="16.5" x14ac:dyDescent="0.3">
      <c r="A44" s="90" t="s">
        <v>25</v>
      </c>
      <c r="B44" s="16" t="s">
        <v>21</v>
      </c>
      <c r="C44" s="16">
        <v>10</v>
      </c>
      <c r="D44" s="137">
        <f>('STDs and Samples'!I55)</f>
        <v>-0.10832136012395543</v>
      </c>
      <c r="E44" s="137">
        <f>('STDs and Samples'!J55)</f>
        <v>3870.6309038122095</v>
      </c>
      <c r="F44" s="12"/>
      <c r="G44" s="12"/>
      <c r="H44" s="12"/>
      <c r="I44" s="6"/>
      <c r="J44" s="6"/>
      <c r="K44" s="6"/>
      <c r="L44" s="6"/>
      <c r="M44" s="6"/>
      <c r="N44" s="6"/>
      <c r="O44" s="10"/>
    </row>
    <row r="45" spans="1:15" ht="16.5" x14ac:dyDescent="0.3">
      <c r="A45" s="90" t="s">
        <v>25</v>
      </c>
      <c r="B45" s="16" t="s">
        <v>22</v>
      </c>
      <c r="C45" s="16">
        <v>10</v>
      </c>
      <c r="D45" s="137">
        <f>('STDs and Samples'!I59)</f>
        <v>-0.26937825946623928</v>
      </c>
      <c r="E45" s="137">
        <f>('STDs and Samples'!J59)</f>
        <v>1741.1097743735932</v>
      </c>
      <c r="F45" s="12"/>
      <c r="G45" s="12"/>
      <c r="H45" s="12"/>
      <c r="I45" s="6"/>
      <c r="J45" s="6"/>
      <c r="K45" s="6"/>
      <c r="L45" s="6"/>
      <c r="M45" s="6"/>
      <c r="N45" s="6"/>
      <c r="O45" s="10"/>
    </row>
    <row r="46" spans="1:15" ht="17.25" thickBot="1" x14ac:dyDescent="0.35">
      <c r="A46" s="110" t="s">
        <v>25</v>
      </c>
      <c r="B46" s="35" t="s">
        <v>23</v>
      </c>
      <c r="C46" s="35">
        <v>10</v>
      </c>
      <c r="D46" s="138">
        <f>('STDs and Samples'!I63)</f>
        <v>-0.4381969370900789</v>
      </c>
      <c r="E46" s="138">
        <f>('STDs and Samples'!J63)</f>
        <v>5822.0122463118187</v>
      </c>
      <c r="F46" s="46"/>
      <c r="G46" s="46"/>
      <c r="H46" s="46"/>
      <c r="I46" s="111"/>
      <c r="J46" s="111"/>
      <c r="K46" s="111"/>
      <c r="L46" s="111"/>
      <c r="M46" s="111"/>
      <c r="N46" s="111"/>
      <c r="O46" s="112"/>
    </row>
    <row r="47" spans="1:15" ht="16.5" x14ac:dyDescent="0.3">
      <c r="A47" s="115" t="s">
        <v>25</v>
      </c>
      <c r="B47" s="116" t="s">
        <v>19</v>
      </c>
      <c r="C47" s="116">
        <v>20</v>
      </c>
      <c r="D47" s="139">
        <f>('STDs and Samples'!I48)</f>
        <v>-1.0164494190659896</v>
      </c>
      <c r="E47" s="139">
        <f>('STDs and Samples'!J48)</f>
        <v>9192.9136262270677</v>
      </c>
      <c r="F47" s="117"/>
      <c r="G47" s="117"/>
      <c r="H47" s="117"/>
      <c r="I47" s="117"/>
      <c r="J47" s="117">
        <f>AVERAGE(D47:D51)</f>
        <v>-1.1029932469053374</v>
      </c>
      <c r="K47" s="117">
        <f>STDEV(D47:D51)</f>
        <v>6.7771259354473395E-2</v>
      </c>
      <c r="L47" s="117">
        <f>K47/SQRT(5)</f>
        <v>3.0308228567474203E-2</v>
      </c>
      <c r="M47" s="117">
        <f>AVERAGE(E47:E51)</f>
        <v>10008.847690114775</v>
      </c>
      <c r="N47" s="117">
        <f>STDEV(E47:E51)</f>
        <v>2592.9375030256265</v>
      </c>
      <c r="O47" s="118">
        <f>N47/SQRT(5)</f>
        <v>1159.5969036347735</v>
      </c>
    </row>
    <row r="48" spans="1:15" ht="16.5" x14ac:dyDescent="0.3">
      <c r="A48" s="101" t="s">
        <v>25</v>
      </c>
      <c r="B48" s="102" t="s">
        <v>20</v>
      </c>
      <c r="C48" s="102">
        <v>20</v>
      </c>
      <c r="D48" s="140">
        <f>('STDs and Samples'!I52)</f>
        <v>-1.1600423172747729</v>
      </c>
      <c r="E48" s="140">
        <f>('STDs and Samples'!J52)</f>
        <v>12613.154677977765</v>
      </c>
      <c r="F48" s="103"/>
      <c r="G48" s="103"/>
      <c r="H48" s="103"/>
      <c r="I48" s="103"/>
      <c r="J48" s="103"/>
      <c r="K48" s="103"/>
      <c r="L48" s="103"/>
      <c r="M48" s="103"/>
      <c r="N48" s="103"/>
      <c r="O48" s="104"/>
    </row>
    <row r="49" spans="1:15" ht="16.5" x14ac:dyDescent="0.3">
      <c r="A49" s="101" t="s">
        <v>25</v>
      </c>
      <c r="B49" s="102" t="s">
        <v>21</v>
      </c>
      <c r="C49" s="102">
        <v>20</v>
      </c>
      <c r="D49" s="140">
        <f>('STDs and Samples'!I56)</f>
        <v>-1.1561614281339949</v>
      </c>
      <c r="E49" s="140">
        <f>('STDs and Samples'!J56)</f>
        <v>12026.770624782474</v>
      </c>
      <c r="F49" s="103"/>
      <c r="G49" s="103"/>
      <c r="H49" s="103"/>
      <c r="I49" s="103"/>
      <c r="J49" s="103"/>
      <c r="K49" s="103"/>
      <c r="L49" s="103"/>
      <c r="M49" s="103"/>
      <c r="N49" s="103"/>
      <c r="O49" s="104"/>
    </row>
    <row r="50" spans="1:15" ht="16.5" x14ac:dyDescent="0.3">
      <c r="A50" s="101" t="s">
        <v>25</v>
      </c>
      <c r="B50" s="102" t="s">
        <v>22</v>
      </c>
      <c r="C50" s="102">
        <v>20</v>
      </c>
      <c r="D50" s="140">
        <f>('STDs and Samples'!I60)</f>
        <v>-1.0436156430514352</v>
      </c>
      <c r="E50" s="140">
        <f>('STDs and Samples'!J60)</f>
        <v>6089.6170190979483</v>
      </c>
      <c r="F50" s="103"/>
      <c r="G50" s="103"/>
      <c r="H50" s="103"/>
      <c r="I50" s="103"/>
      <c r="J50" s="103"/>
      <c r="K50" s="103"/>
      <c r="L50" s="103"/>
      <c r="M50" s="103"/>
      <c r="N50" s="103"/>
      <c r="O50" s="104"/>
    </row>
    <row r="51" spans="1:15" ht="17.25" thickBot="1" x14ac:dyDescent="0.35">
      <c r="A51" s="106" t="s">
        <v>25</v>
      </c>
      <c r="B51" s="107" t="s">
        <v>23</v>
      </c>
      <c r="C51" s="107">
        <v>20</v>
      </c>
      <c r="D51" s="141">
        <f>('STDs and Samples'!I64)</f>
        <v>-1.1386974270004944</v>
      </c>
      <c r="E51" s="141">
        <f>('STDs and Samples'!J64)</f>
        <v>10121.782502488617</v>
      </c>
      <c r="F51" s="108"/>
      <c r="G51" s="108"/>
      <c r="H51" s="108"/>
      <c r="I51" s="108"/>
      <c r="J51" s="108"/>
      <c r="K51" s="108"/>
      <c r="L51" s="108"/>
      <c r="M51" s="108"/>
      <c r="N51" s="108"/>
      <c r="O51" s="109"/>
    </row>
    <row r="52" spans="1:15" ht="16.5" x14ac:dyDescent="0.3">
      <c r="A52" s="92" t="s">
        <v>25</v>
      </c>
      <c r="B52" s="93" t="s">
        <v>19</v>
      </c>
      <c r="C52" s="93">
        <v>35</v>
      </c>
      <c r="D52" s="136">
        <f>('STDs and Samples'!I49)</f>
        <v>-0.8922609665610961</v>
      </c>
      <c r="E52" s="136">
        <f>('STDs and Samples'!J49)</f>
        <v>8915.8668152639584</v>
      </c>
      <c r="F52" s="94"/>
      <c r="G52" s="94"/>
      <c r="H52" s="94"/>
      <c r="I52" s="5"/>
      <c r="J52" s="5">
        <f>AVERAGE(D52:D56)</f>
        <v>-0.88682772176400704</v>
      </c>
      <c r="K52" s="5">
        <f>STDEV(D52:D56)</f>
        <v>0.25332427690300974</v>
      </c>
      <c r="L52" s="5">
        <f>K52/SQRT(5)</f>
        <v>0.11329006070122193</v>
      </c>
      <c r="M52" s="5">
        <f>AVERAGE(E52:E56)</f>
        <v>11724.421830097452</v>
      </c>
      <c r="N52" s="5">
        <f>STDEV(E52:E56)</f>
        <v>4857.8781678028836</v>
      </c>
      <c r="O52" s="8">
        <f>N52/SQRT(5)</f>
        <v>2172.5091619238756</v>
      </c>
    </row>
    <row r="53" spans="1:15" ht="16.5" x14ac:dyDescent="0.3">
      <c r="A53" s="90" t="s">
        <v>25</v>
      </c>
      <c r="B53" s="16" t="s">
        <v>20</v>
      </c>
      <c r="C53" s="16">
        <v>35</v>
      </c>
      <c r="D53" s="137">
        <f>('STDs and Samples'!I53)</f>
        <v>-0.67493117467753239</v>
      </c>
      <c r="E53" s="137">
        <f>('STDs and Samples'!J53)</f>
        <v>11190.098898606491</v>
      </c>
      <c r="F53" s="12"/>
      <c r="G53" s="12"/>
      <c r="H53" s="12"/>
      <c r="I53" s="6"/>
      <c r="J53" s="6"/>
      <c r="K53" s="6"/>
      <c r="L53" s="6"/>
      <c r="M53" s="6"/>
      <c r="N53" s="6"/>
      <c r="O53" s="10"/>
    </row>
    <row r="54" spans="1:15" ht="16.5" x14ac:dyDescent="0.3">
      <c r="A54" s="90" t="s">
        <v>25</v>
      </c>
      <c r="B54" s="16" t="s">
        <v>21</v>
      </c>
      <c r="C54" s="16">
        <v>35</v>
      </c>
      <c r="D54" s="137">
        <f>('STDs and Samples'!I57)</f>
        <v>-0.59343250272119596</v>
      </c>
      <c r="E54" s="137">
        <f>('STDs and Samples'!J57)</f>
        <v>9159.9669398222886</v>
      </c>
      <c r="F54" s="12"/>
      <c r="G54" s="12"/>
      <c r="H54" s="12"/>
      <c r="I54" s="6"/>
      <c r="J54" s="6"/>
      <c r="K54" s="6"/>
      <c r="L54" s="6"/>
      <c r="M54" s="6"/>
      <c r="N54" s="6"/>
      <c r="O54" s="10"/>
    </row>
    <row r="55" spans="1:15" ht="16.5" x14ac:dyDescent="0.3">
      <c r="A55" s="90" t="s">
        <v>25</v>
      </c>
      <c r="B55" s="16" t="s">
        <v>22</v>
      </c>
      <c r="C55" s="16">
        <v>35</v>
      </c>
      <c r="D55" s="137">
        <f>('STDs and Samples'!I61)</f>
        <v>-1.1561614281339949</v>
      </c>
      <c r="E55" s="137">
        <f>('STDs and Samples'!J61)</f>
        <v>9101.4530890489241</v>
      </c>
      <c r="F55" s="12"/>
      <c r="G55" s="12"/>
      <c r="H55" s="12"/>
      <c r="I55" s="6"/>
      <c r="J55" s="6"/>
      <c r="K55" s="6"/>
      <c r="L55" s="6"/>
      <c r="M55" s="6"/>
      <c r="N55" s="6"/>
      <c r="O55" s="10"/>
    </row>
    <row r="56" spans="1:15" ht="17.25" thickBot="1" x14ac:dyDescent="0.35">
      <c r="A56" s="110" t="s">
        <v>25</v>
      </c>
      <c r="B56" s="35" t="s">
        <v>23</v>
      </c>
      <c r="C56" s="35">
        <v>35</v>
      </c>
      <c r="D56" s="138">
        <f>('STDs and Samples'!I65)</f>
        <v>-1.1173525367262158</v>
      </c>
      <c r="E56" s="138">
        <f>('STDs and Samples'!J65)</f>
        <v>20254.723407745591</v>
      </c>
      <c r="F56" s="46"/>
      <c r="G56" s="46"/>
      <c r="H56" s="46"/>
      <c r="I56" s="111"/>
      <c r="J56" s="111"/>
      <c r="K56" s="111"/>
      <c r="L56" s="111"/>
      <c r="M56" s="111"/>
      <c r="N56" s="111"/>
      <c r="O56" s="112"/>
    </row>
    <row r="57" spans="1:15" ht="16.5" x14ac:dyDescent="0.3">
      <c r="A57" s="115" t="s">
        <v>25</v>
      </c>
      <c r="B57" s="116" t="s">
        <v>19</v>
      </c>
      <c r="C57" s="116">
        <v>50</v>
      </c>
      <c r="D57" s="139">
        <f>('STDs and Samples'!I50)</f>
        <v>-1.5558930096341212</v>
      </c>
      <c r="E57" s="139">
        <f>('STDs and Samples'!J50)</f>
        <v>18572.768280857741</v>
      </c>
      <c r="F57" s="117"/>
      <c r="G57" s="117"/>
      <c r="H57" s="117"/>
      <c r="I57" s="117"/>
      <c r="J57" s="117">
        <f>AVERAGE(D57:D61)</f>
        <v>-0.99005937290869972</v>
      </c>
      <c r="K57" s="117">
        <f>STDEV(D57:D61)</f>
        <v>0.45311479009413691</v>
      </c>
      <c r="L57" s="117">
        <f>K57/SQRT(5)</f>
        <v>0.20263909445220768</v>
      </c>
      <c r="M57" s="117">
        <f>AVERAGE(E57:E61)</f>
        <v>15199.493668084393</v>
      </c>
      <c r="N57" s="117">
        <f>STDEV(E57:E61)</f>
        <v>5961.5423485326301</v>
      </c>
      <c r="O57" s="118">
        <f>N57/SQRT(5)</f>
        <v>2666.0827884125406</v>
      </c>
    </row>
    <row r="58" spans="1:15" ht="16.5" x14ac:dyDescent="0.3">
      <c r="A58" s="101" t="s">
        <v>25</v>
      </c>
      <c r="B58" s="102" t="s">
        <v>20</v>
      </c>
      <c r="C58" s="102">
        <v>50</v>
      </c>
      <c r="D58" s="140">
        <f>('STDs and Samples'!I54)</f>
        <v>-0.31788937372596338</v>
      </c>
      <c r="E58" s="140">
        <f>('STDs and Samples'!J54)</f>
        <v>7163.7459607034943</v>
      </c>
      <c r="F58" s="103"/>
      <c r="G58" s="103"/>
      <c r="H58" s="103"/>
      <c r="I58" s="103"/>
      <c r="J58" s="103"/>
      <c r="K58" s="103"/>
      <c r="L58" s="103"/>
      <c r="M58" s="103"/>
      <c r="N58" s="103"/>
      <c r="O58" s="104"/>
    </row>
    <row r="59" spans="1:15" ht="16.5" x14ac:dyDescent="0.3">
      <c r="A59" s="101" t="s">
        <v>25</v>
      </c>
      <c r="B59" s="102" t="s">
        <v>21</v>
      </c>
      <c r="C59" s="102">
        <v>50</v>
      </c>
      <c r="D59" s="140">
        <f>('STDs and Samples'!I58)</f>
        <v>-0.85151163058292789</v>
      </c>
      <c r="E59" s="140">
        <f>('STDs and Samples'!J58)</f>
        <v>20633.945125449372</v>
      </c>
      <c r="F59" s="103"/>
      <c r="G59" s="103"/>
      <c r="H59" s="103"/>
      <c r="I59" s="103"/>
      <c r="J59" s="103"/>
      <c r="K59" s="103"/>
      <c r="L59" s="103"/>
      <c r="M59" s="103"/>
      <c r="N59" s="103"/>
      <c r="O59" s="104"/>
    </row>
    <row r="60" spans="1:15" ht="16.5" x14ac:dyDescent="0.3">
      <c r="A60" s="101" t="s">
        <v>25</v>
      </c>
      <c r="B60" s="102" t="s">
        <v>22</v>
      </c>
      <c r="C60" s="102">
        <v>50</v>
      </c>
      <c r="D60" s="140">
        <f>('STDs and Samples'!I62)</f>
        <v>-1.105709869303882</v>
      </c>
      <c r="E60" s="140">
        <f>('STDs and Samples'!J62)</f>
        <v>10548.73673659347</v>
      </c>
      <c r="F60" s="103"/>
      <c r="G60" s="103"/>
      <c r="H60" s="103"/>
      <c r="I60" s="103"/>
      <c r="J60" s="103"/>
      <c r="K60" s="103"/>
      <c r="L60" s="103"/>
      <c r="M60" s="103"/>
      <c r="N60" s="103"/>
      <c r="O60" s="104"/>
    </row>
    <row r="61" spans="1:15" ht="17.25" thickBot="1" x14ac:dyDescent="0.35">
      <c r="A61" s="106" t="s">
        <v>25</v>
      </c>
      <c r="B61" s="107" t="s">
        <v>23</v>
      </c>
      <c r="C61" s="107">
        <v>50</v>
      </c>
      <c r="D61" s="141">
        <f>('STDs and Samples'!I66)</f>
        <v>-1.1192929812966046</v>
      </c>
      <c r="E61" s="141">
        <f>('STDs and Samples'!J66)</f>
        <v>19078.272236817887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09"/>
    </row>
    <row r="62" spans="1:15" ht="16.5" x14ac:dyDescent="0.3">
      <c r="A62" s="79"/>
      <c r="B62" s="79"/>
      <c r="C62" s="79"/>
      <c r="D62" s="142"/>
      <c r="E62" s="142"/>
      <c r="F62" s="79"/>
      <c r="G62" s="79"/>
      <c r="H62" s="79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Stearns, Alice</cp:lastModifiedBy>
  <cp:lastPrinted>2021-07-14T18:10:05Z</cp:lastPrinted>
  <dcterms:created xsi:type="dcterms:W3CDTF">2014-08-19T17:33:21Z</dcterms:created>
  <dcterms:modified xsi:type="dcterms:W3CDTF">2022-01-24T17:34:11Z</dcterms:modified>
</cp:coreProperties>
</file>