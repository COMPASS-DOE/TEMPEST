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Si-sercfs01\serc\Shared\Biogeochemistry\TEMPEST\Soil (GHG)\"/>
    </mc:Choice>
  </mc:AlternateContent>
  <xr:revisionPtr revIDLastSave="0" documentId="13_ncr:1_{495109BD-283C-4E83-82FE-4DE2631AFB9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6" i="1" l="1"/>
  <c r="O26" i="1"/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K2" i="2" l="1"/>
  <c r="L2" i="2" s="1"/>
  <c r="J2" i="2"/>
  <c r="N32" i="2"/>
  <c r="O32" i="2" s="1"/>
  <c r="M32" i="2"/>
  <c r="N22" i="2"/>
  <c r="O22" i="2" s="1"/>
  <c r="M22" i="2"/>
  <c r="N17" i="2"/>
  <c r="O17" i="2" s="1"/>
  <c r="M17" i="2"/>
  <c r="N2" i="2"/>
  <c r="O2" i="2" s="1"/>
  <c r="M2" i="2"/>
  <c r="N47" i="2"/>
  <c r="O47" i="2" s="1"/>
  <c r="M47" i="2"/>
  <c r="N52" i="2"/>
  <c r="O52" i="2" s="1"/>
  <c r="M52" i="2"/>
  <c r="N42" i="2"/>
  <c r="O42" i="2" s="1"/>
  <c r="M42" i="2"/>
  <c r="N27" i="2"/>
  <c r="O27" i="2" s="1"/>
  <c r="M27" i="2"/>
  <c r="M7" i="2"/>
  <c r="N7" i="2"/>
  <c r="O7" i="2" s="1"/>
  <c r="N12" i="2"/>
  <c r="O12" i="2" s="1"/>
  <c r="M12" i="2"/>
  <c r="N57" i="2"/>
  <c r="O57" i="2" s="1"/>
  <c r="M57" i="2"/>
  <c r="N37" i="2"/>
  <c r="O37" i="2" s="1"/>
  <c r="M37" i="2"/>
  <c r="J7" i="2"/>
  <c r="K7" i="2"/>
  <c r="L7" i="2" s="1"/>
  <c r="J57" i="2"/>
  <c r="K57" i="2"/>
  <c r="L57" i="2" s="1"/>
  <c r="K27" i="2"/>
  <c r="L27" i="2" s="1"/>
  <c r="J27" i="2"/>
  <c r="K42" i="2"/>
  <c r="L42" i="2" s="1"/>
  <c r="J42" i="2"/>
  <c r="K32" i="2"/>
  <c r="L32" i="2" s="1"/>
  <c r="J32" i="2"/>
  <c r="K37" i="2"/>
  <c r="L37" i="2" s="1"/>
  <c r="J37" i="2"/>
  <c r="J12" i="2"/>
  <c r="K12" i="2"/>
  <c r="L12" i="2" s="1"/>
  <c r="K22" i="2"/>
  <c r="L22" i="2" s="1"/>
  <c r="J22" i="2"/>
  <c r="K17" i="2"/>
  <c r="L17" i="2" s="1"/>
  <c r="J17" i="2"/>
  <c r="K52" i="2"/>
  <c r="L52" i="2" s="1"/>
  <c r="J52" i="2"/>
  <c r="K47" i="2"/>
  <c r="L47" i="2" s="1"/>
  <c r="J47" i="2"/>
</calcChain>
</file>

<file path=xl/sharedStrings.xml><?xml version="1.0" encoding="utf-8"?>
<sst xmlns="http://schemas.openxmlformats.org/spreadsheetml/2006/main" count="319" uniqueCount="49">
  <si>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</si>
  <si>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</si>
  <si>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</si>
  <si>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</si>
  <si>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</si>
  <si>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</si>
  <si>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</si>
  <si>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</si>
  <si>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</si>
  <si>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</si>
  <si>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</si>
  <si>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</si>
  <si>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</si>
  <si>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</si>
  <si>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</si>
  <si>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</si>
  <si>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</si>
  <si>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</si>
  <si>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</si>
  <si>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</si>
  <si>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</si>
  <si>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</si>
  <si>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</si>
  <si>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</si>
  <si>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</si>
  <si>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</si>
  <si>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</si>
  <si>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</si>
  <si>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</si>
  <si>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</si>
  <si>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</si>
  <si>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</si>
  <si>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</si>
  <si>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</si>
  <si>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</si>
  <si>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</si>
  <si>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</si>
  <si>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</si>
  <si>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</si>
  <si>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</si>
  <si>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</si>
  <si>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</si>
  <si>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</si>
  <si>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</si>
  <si>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</si>
  <si>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</si>
  <si>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</si>
  <si>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no CO2 reading</t>
  </si>
  <si>
    <t>Analyst: 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</si>
</sst>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14" fontId="4" fillId="0" borderId="4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4" fontId="1" fillId="0" borderId="6" xfId="0" applyNumberFormat="1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14" fontId="4" fillId="0" borderId="6" xfId="0" applyNumberFormat="1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Fill="1" applyBorder="1"/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Fill="1" applyBorder="1"/>
    <xf numFmtId="0" fontId="4" fillId="0" borderId="2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Fill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Fill="1" applyBorder="1"/>
    <xf numFmtId="14" fontId="1" fillId="2" borderId="10" xfId="0" applyNumberFormat="1" applyFont="1" applyFill="1" applyBorder="1"/>
    <xf numFmtId="0" fontId="1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4" fillId="0" borderId="19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710120939382242"/>
                  <c:y val="-3.33015743536434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4728.333333333333</c:v>
                </c:pt>
                <c:pt idx="3">
                  <c:v>3459.3333333333335</c:v>
                </c:pt>
                <c:pt idx="6">
                  <c:v>2355.3333333333335</c:v>
                </c:pt>
                <c:pt idx="9">
                  <c:v>1482.3333333333333</c:v>
                </c:pt>
                <c:pt idx="12">
                  <c:v>791.33333333333337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layout>
        <c:manualLayout>
          <c:xMode val="edge"/>
          <c:yMode val="edge"/>
          <c:x val="0.33591652141656192"/>
          <c:y val="1.9556718487350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019737537125444"/>
                  <c:y val="-2.9130887111229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270767.5</c:v>
                </c:pt>
                <c:pt idx="3">
                  <c:v>179815.66666666666</c:v>
                </c:pt>
                <c:pt idx="6">
                  <c:v>128487.33333333333</c:v>
                </c:pt>
                <c:pt idx="9">
                  <c:v>86781.666666666672</c:v>
                </c:pt>
                <c:pt idx="12">
                  <c:v>49235.666666666664</c:v>
                </c:pt>
                <c:pt idx="15">
                  <c:v>325587</c:v>
                </c:pt>
                <c:pt idx="16">
                  <c:v>699319</c:v>
                </c:pt>
                <c:pt idx="17">
                  <c:v>1280116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0.10463582486928487</c:v>
                  </c:pt>
                  <c:pt idx="1">
                    <c:v>0.13024891997025756</c:v>
                  </c:pt>
                  <c:pt idx="2">
                    <c:v>0.14836914871289825</c:v>
                  </c:pt>
                  <c:pt idx="3">
                    <c:v>0.12478445064685403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0.10463582486928487</c:v>
                  </c:pt>
                  <c:pt idx="1">
                    <c:v>0.13024891997025756</c:v>
                  </c:pt>
                  <c:pt idx="2">
                    <c:v>0.14836914871289825</c:v>
                  </c:pt>
                  <c:pt idx="3">
                    <c:v>0.12478445064685403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0.39026941073070531</c:v>
                </c:pt>
                <c:pt idx="1">
                  <c:v>-0.16329956258223899</c:v>
                </c:pt>
                <c:pt idx="2">
                  <c:v>-0.24120662273861204</c:v>
                </c:pt>
                <c:pt idx="3">
                  <c:v>-0.33626753100281032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0.1480406089060704</c:v>
                  </c:pt>
                  <c:pt idx="1">
                    <c:v>7.0997021872420962E-2</c:v>
                  </c:pt>
                  <c:pt idx="2">
                    <c:v>9.8044687913937875E-2</c:v>
                  </c:pt>
                  <c:pt idx="3">
                    <c:v>7.585338227355809E-2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0.1480406089060704</c:v>
                  </c:pt>
                  <c:pt idx="1">
                    <c:v>7.0997021872420962E-2</c:v>
                  </c:pt>
                  <c:pt idx="2">
                    <c:v>9.8044687913937875E-2</c:v>
                  </c:pt>
                  <c:pt idx="3">
                    <c:v>7.585338227355809E-2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0.1345216612145049</c:v>
                  </c:pt>
                  <c:pt idx="1">
                    <c:v>2.094058686403117E-2</c:v>
                  </c:pt>
                  <c:pt idx="2">
                    <c:v>0.21699813845008686</c:v>
                  </c:pt>
                  <c:pt idx="3">
                    <c:v>0.15003595872958986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0.1345216612145049</c:v>
                  </c:pt>
                  <c:pt idx="1">
                    <c:v>2.094058686403117E-2</c:v>
                  </c:pt>
                  <c:pt idx="2">
                    <c:v>0.21699813845008686</c:v>
                  </c:pt>
                  <c:pt idx="3">
                    <c:v>0.15003595872958986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3.5399178000070267E-2</c:v>
                </c:pt>
                <c:pt idx="1">
                  <c:v>-0.44955440288157311</c:v>
                </c:pt>
                <c:pt idx="2">
                  <c:v>-0.2798027809812188</c:v>
                </c:pt>
                <c:pt idx="3">
                  <c:v>-0.48958004846649866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0.1345216612145049</c:v>
                  </c:pt>
                  <c:pt idx="1">
                    <c:v>2.094058686403117E-2</c:v>
                  </c:pt>
                  <c:pt idx="2">
                    <c:v>0.21699813845008686</c:v>
                  </c:pt>
                  <c:pt idx="3">
                    <c:v>0.15003595872958986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0.1345216612145049</c:v>
                  </c:pt>
                  <c:pt idx="1">
                    <c:v>2.094058686403117E-2</c:v>
                  </c:pt>
                  <c:pt idx="2">
                    <c:v>0.21699813845008686</c:v>
                  </c:pt>
                  <c:pt idx="3">
                    <c:v>0.15003595872958986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0.1480406089060704</c:v>
                  </c:pt>
                  <c:pt idx="1">
                    <c:v>7.0997021872420962E-2</c:v>
                  </c:pt>
                  <c:pt idx="2">
                    <c:v>9.8044687913937875E-2</c:v>
                  </c:pt>
                  <c:pt idx="3">
                    <c:v>7.585338227355809E-2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0.1480406089060704</c:v>
                  </c:pt>
                  <c:pt idx="1">
                    <c:v>7.0997021872420962E-2</c:v>
                  </c:pt>
                  <c:pt idx="2">
                    <c:v>9.8044687913937875E-2</c:v>
                  </c:pt>
                  <c:pt idx="3">
                    <c:v>7.585338227355809E-2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0.18049214324542556</c:v>
                </c:pt>
                <c:pt idx="1">
                  <c:v>-0.64217782225902753</c:v>
                </c:pt>
                <c:pt idx="2">
                  <c:v>-0.32661849144215871</c:v>
                </c:pt>
                <c:pt idx="3">
                  <c:v>-0.46599350731823891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4.3618730218403234E-2</c:v>
                </c:pt>
                <c:pt idx="1">
                  <c:v>-0.48529158643954229</c:v>
                </c:pt>
                <c:pt idx="2">
                  <c:v>-0.52817620670910548</c:v>
                </c:pt>
                <c:pt idx="3">
                  <c:v>-0.6121585880703333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0.50105467976041007</c:v>
                </c:pt>
                <c:pt idx="1">
                  <c:v>-2.6068777719636893E-2</c:v>
                </c:pt>
                <c:pt idx="2">
                  <c:v>-4.6264675848552983E-3</c:v>
                </c:pt>
                <c:pt idx="3">
                  <c:v>-0.17795180784100639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0.6243479630354043</c:v>
                </c:pt>
                <c:pt idx="1">
                  <c:v>0.13832226664702185</c:v>
                </c:pt>
                <c:pt idx="2">
                  <c:v>0.21158349294085887</c:v>
                </c:pt>
                <c:pt idx="3">
                  <c:v>5.7913603641591038E-2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0.26518926827781275</c:v>
                </c:pt>
                <c:pt idx="1">
                  <c:v>2.217642008362164E-2</c:v>
                </c:pt>
                <c:pt idx="2">
                  <c:v>-0.35306400727505594</c:v>
                </c:pt>
                <c:pt idx="3">
                  <c:v>-0.56570024944497321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0.51713641236149632</c:v>
                </c:pt>
                <c:pt idx="1">
                  <c:v>-0.46563613548265925</c:v>
                </c:pt>
                <c:pt idx="2">
                  <c:v>-0.53174992506490237</c:v>
                </c:pt>
                <c:pt idx="3">
                  <c:v>-0.38344061329932988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-0.22441014646636648</c:v>
                </c:pt>
                <c:pt idx="1">
                  <c:v>-0.64789577162830259</c:v>
                </c:pt>
                <c:pt idx="2">
                  <c:v>-0.21726270975477258</c:v>
                </c:pt>
                <c:pt idx="3">
                  <c:v>-0.48886530479533929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-0.40130920507831447</c:v>
                </c:pt>
                <c:pt idx="1">
                  <c:v>-0.59607685546924705</c:v>
                </c:pt>
                <c:pt idx="2">
                  <c:v>-0.66040378587359183</c:v>
                </c:pt>
                <c:pt idx="3">
                  <c:v>-0.60322429218084106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0.18835432362817883</c:v>
                </c:pt>
                <c:pt idx="1">
                  <c:v>-0.34234285220766514</c:v>
                </c:pt>
                <c:pt idx="2">
                  <c:v>-0.17973866701890484</c:v>
                </c:pt>
                <c:pt idx="3">
                  <c:v>-0.37450631740983753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0.37418767812961917</c:v>
                </c:pt>
                <c:pt idx="1">
                  <c:v>-0.3191136828949851</c:v>
                </c:pt>
                <c:pt idx="2">
                  <c:v>-0.24049187906745262</c:v>
                </c:pt>
                <c:pt idx="3">
                  <c:v>-0.27980278098121891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0.24017323978723426</c:v>
                </c:pt>
                <c:pt idx="1">
                  <c:v>-0.34234285220766514</c:v>
                </c:pt>
                <c:pt idx="2">
                  <c:v>-0.10111686319137247</c:v>
                </c:pt>
                <c:pt idx="3">
                  <c:v>-0.70150154696525657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0.35453222717273603</c:v>
                </c:pt>
                <c:pt idx="1">
                  <c:v>-0.71400956121054582</c:v>
                </c:pt>
                <c:pt idx="2">
                  <c:v>-0.50316017821852699</c:v>
                </c:pt>
                <c:pt idx="3">
                  <c:v>-0.71043584285474881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0.1258142524017325</c:v>
                </c:pt>
                <c:pt idx="1">
                  <c:v>-0.60679801053663796</c:v>
                </c:pt>
                <c:pt idx="2">
                  <c:v>-0.30303195029389896</c:v>
                </c:pt>
                <c:pt idx="3">
                  <c:v>9.3650787199560215E-2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0.47782551044773003</c:v>
                </c:pt>
                <c:pt idx="1">
                  <c:v>-0.64789577162830259</c:v>
                </c:pt>
                <c:pt idx="2">
                  <c:v>0.49926782058251162</c:v>
                </c:pt>
                <c:pt idx="3">
                  <c:v>-0.39952234590041602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0.24910753567672672</c:v>
                </c:pt>
                <c:pt idx="1">
                  <c:v>-0.5942899962913486</c:v>
                </c:pt>
                <c:pt idx="2">
                  <c:v>-0.69078039189786578</c:v>
                </c:pt>
                <c:pt idx="3">
                  <c:v>-0.65861692669569338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-0.3048188094717974</c:v>
                </c:pt>
                <c:pt idx="1">
                  <c:v>-0.64789577162830259</c:v>
                </c:pt>
                <c:pt idx="2">
                  <c:v>-0.63538775738301334</c:v>
                </c:pt>
                <c:pt idx="3">
                  <c:v>-0.65504320833989649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4.3618730218403234E-2</c:v>
                </c:pt>
                <c:pt idx="1">
                  <c:v>0.50105467976041007</c:v>
                </c:pt>
                <c:pt idx="2">
                  <c:v>0.6243479630354043</c:v>
                </c:pt>
                <c:pt idx="3">
                  <c:v>0.26518926827781275</c:v>
                </c:pt>
                <c:pt idx="4">
                  <c:v>0.51713641236149632</c:v>
                </c:pt>
                <c:pt idx="5">
                  <c:v>-0.22441014646636648</c:v>
                </c:pt>
                <c:pt idx="6">
                  <c:v>-0.40130920507831447</c:v>
                </c:pt>
                <c:pt idx="7">
                  <c:v>0.18835432362817883</c:v>
                </c:pt>
                <c:pt idx="8">
                  <c:v>0.37418767812961917</c:v>
                </c:pt>
                <c:pt idx="9">
                  <c:v>0.24017323978723426</c:v>
                </c:pt>
                <c:pt idx="10">
                  <c:v>0.35453222717273603</c:v>
                </c:pt>
                <c:pt idx="11">
                  <c:v>0.1258142524017325</c:v>
                </c:pt>
                <c:pt idx="12">
                  <c:v>0.47782551044773003</c:v>
                </c:pt>
                <c:pt idx="13">
                  <c:v>0.24910753567672672</c:v>
                </c:pt>
                <c:pt idx="14">
                  <c:v>-0.3048188094717974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-0.48529158643954229</c:v>
                </c:pt>
                <c:pt idx="1">
                  <c:v>-2.6068777719636893E-2</c:v>
                </c:pt>
                <c:pt idx="2">
                  <c:v>0.13832226664702185</c:v>
                </c:pt>
                <c:pt idx="3">
                  <c:v>2.217642008362164E-2</c:v>
                </c:pt>
                <c:pt idx="4">
                  <c:v>-0.46563613548265925</c:v>
                </c:pt>
                <c:pt idx="5">
                  <c:v>-0.64789577162830259</c:v>
                </c:pt>
                <c:pt idx="6">
                  <c:v>-0.59607685546924705</c:v>
                </c:pt>
                <c:pt idx="7">
                  <c:v>-0.34234285220766514</c:v>
                </c:pt>
                <c:pt idx="8">
                  <c:v>-0.3191136828949851</c:v>
                </c:pt>
                <c:pt idx="9">
                  <c:v>-0.34234285220766514</c:v>
                </c:pt>
                <c:pt idx="10">
                  <c:v>-0.71400956121054582</c:v>
                </c:pt>
                <c:pt idx="11">
                  <c:v>-0.60679801053663796</c:v>
                </c:pt>
                <c:pt idx="12">
                  <c:v>-0.64789577162830259</c:v>
                </c:pt>
                <c:pt idx="13">
                  <c:v>-0.5942899962913486</c:v>
                </c:pt>
                <c:pt idx="14">
                  <c:v>-0.64789577162830259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-0.52817620670910548</c:v>
                </c:pt>
                <c:pt idx="1">
                  <c:v>-4.6264675848552983E-3</c:v>
                </c:pt>
                <c:pt idx="2">
                  <c:v>0.21158349294085887</c:v>
                </c:pt>
                <c:pt idx="3">
                  <c:v>-0.35306400727505594</c:v>
                </c:pt>
                <c:pt idx="4">
                  <c:v>-0.53174992506490237</c:v>
                </c:pt>
                <c:pt idx="5">
                  <c:v>-0.21726270975477258</c:v>
                </c:pt>
                <c:pt idx="6">
                  <c:v>-0.66040378587359183</c:v>
                </c:pt>
                <c:pt idx="7">
                  <c:v>-0.17973866701890484</c:v>
                </c:pt>
                <c:pt idx="8">
                  <c:v>-0.24049187906745262</c:v>
                </c:pt>
                <c:pt idx="9">
                  <c:v>-0.10111686319137247</c:v>
                </c:pt>
                <c:pt idx="10">
                  <c:v>-0.50316017821852699</c:v>
                </c:pt>
                <c:pt idx="11">
                  <c:v>-0.30303195029389896</c:v>
                </c:pt>
                <c:pt idx="12">
                  <c:v>0.49926782058251162</c:v>
                </c:pt>
                <c:pt idx="13">
                  <c:v>-0.69078039189786578</c:v>
                </c:pt>
                <c:pt idx="14">
                  <c:v>-0.63538775738301334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4.3618730218403234E-2</c:v>
                </c:pt>
                <c:pt idx="1">
                  <c:v>0.50105467976041007</c:v>
                </c:pt>
                <c:pt idx="2">
                  <c:v>0.6243479630354043</c:v>
                </c:pt>
                <c:pt idx="3">
                  <c:v>0.26518926827781275</c:v>
                </c:pt>
                <c:pt idx="4">
                  <c:v>0.51713641236149632</c:v>
                </c:pt>
                <c:pt idx="5">
                  <c:v>-0.22441014646636648</c:v>
                </c:pt>
                <c:pt idx="6">
                  <c:v>-0.40130920507831447</c:v>
                </c:pt>
                <c:pt idx="7">
                  <c:v>0.18835432362817883</c:v>
                </c:pt>
                <c:pt idx="8">
                  <c:v>0.37418767812961917</c:v>
                </c:pt>
                <c:pt idx="9">
                  <c:v>0.24017323978723426</c:v>
                </c:pt>
                <c:pt idx="10">
                  <c:v>0.35453222717273603</c:v>
                </c:pt>
                <c:pt idx="11">
                  <c:v>0.1258142524017325</c:v>
                </c:pt>
                <c:pt idx="12">
                  <c:v>0.47782551044773003</c:v>
                </c:pt>
                <c:pt idx="13">
                  <c:v>0.24910753567672672</c:v>
                </c:pt>
                <c:pt idx="14">
                  <c:v>-0.3048188094717974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-0.48529158643954229</c:v>
                </c:pt>
                <c:pt idx="1">
                  <c:v>-2.6068777719636893E-2</c:v>
                </c:pt>
                <c:pt idx="2">
                  <c:v>0.13832226664702185</c:v>
                </c:pt>
                <c:pt idx="3">
                  <c:v>2.217642008362164E-2</c:v>
                </c:pt>
                <c:pt idx="4">
                  <c:v>-0.46563613548265925</c:v>
                </c:pt>
                <c:pt idx="5">
                  <c:v>-0.64789577162830259</c:v>
                </c:pt>
                <c:pt idx="6">
                  <c:v>-0.59607685546924705</c:v>
                </c:pt>
                <c:pt idx="7">
                  <c:v>-0.34234285220766514</c:v>
                </c:pt>
                <c:pt idx="8">
                  <c:v>-0.3191136828949851</c:v>
                </c:pt>
                <c:pt idx="9">
                  <c:v>-0.34234285220766514</c:v>
                </c:pt>
                <c:pt idx="10">
                  <c:v>-0.71400956121054582</c:v>
                </c:pt>
                <c:pt idx="11">
                  <c:v>-0.60679801053663796</c:v>
                </c:pt>
                <c:pt idx="12">
                  <c:v>-0.64789577162830259</c:v>
                </c:pt>
                <c:pt idx="13">
                  <c:v>-0.5942899962913486</c:v>
                </c:pt>
                <c:pt idx="14">
                  <c:v>-0.64789577162830259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-0.52817620670910548</c:v>
                </c:pt>
                <c:pt idx="1">
                  <c:v>-4.6264675848552983E-3</c:v>
                </c:pt>
                <c:pt idx="2">
                  <c:v>0.21158349294085887</c:v>
                </c:pt>
                <c:pt idx="3">
                  <c:v>-0.35306400727505594</c:v>
                </c:pt>
                <c:pt idx="4">
                  <c:v>-0.53174992506490237</c:v>
                </c:pt>
                <c:pt idx="5">
                  <c:v>-0.21726270975477258</c:v>
                </c:pt>
                <c:pt idx="6">
                  <c:v>-0.66040378587359183</c:v>
                </c:pt>
                <c:pt idx="7">
                  <c:v>-0.17973866701890484</c:v>
                </c:pt>
                <c:pt idx="8">
                  <c:v>-0.24049187906745262</c:v>
                </c:pt>
                <c:pt idx="9">
                  <c:v>-0.10111686319137247</c:v>
                </c:pt>
                <c:pt idx="10">
                  <c:v>-0.50316017821852699</c:v>
                </c:pt>
                <c:pt idx="11">
                  <c:v>-0.30303195029389896</c:v>
                </c:pt>
                <c:pt idx="12">
                  <c:v>0.49926782058251162</c:v>
                </c:pt>
                <c:pt idx="13">
                  <c:v>-0.69078039189786578</c:v>
                </c:pt>
                <c:pt idx="14">
                  <c:v>-0.63538775738301334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4.3618730218403234E-2</c:v>
                </c:pt>
                <c:pt idx="1">
                  <c:v>0.50105467976041007</c:v>
                </c:pt>
                <c:pt idx="2">
                  <c:v>0.6243479630354043</c:v>
                </c:pt>
                <c:pt idx="3">
                  <c:v>0.26518926827781275</c:v>
                </c:pt>
                <c:pt idx="4">
                  <c:v>0.51713641236149632</c:v>
                </c:pt>
                <c:pt idx="5">
                  <c:v>-0.22441014646636648</c:v>
                </c:pt>
                <c:pt idx="6">
                  <c:v>-0.40130920507831447</c:v>
                </c:pt>
                <c:pt idx="7">
                  <c:v>0.18835432362817883</c:v>
                </c:pt>
                <c:pt idx="8">
                  <c:v>0.37418767812961917</c:v>
                </c:pt>
                <c:pt idx="9">
                  <c:v>0.24017323978723426</c:v>
                </c:pt>
                <c:pt idx="10">
                  <c:v>0.35453222717273603</c:v>
                </c:pt>
                <c:pt idx="11">
                  <c:v>0.1258142524017325</c:v>
                </c:pt>
                <c:pt idx="12">
                  <c:v>0.47782551044773003</c:v>
                </c:pt>
                <c:pt idx="13">
                  <c:v>0.24910753567672672</c:v>
                </c:pt>
                <c:pt idx="14">
                  <c:v>-0.3048188094717974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-0.48529158643954229</c:v>
                </c:pt>
                <c:pt idx="1">
                  <c:v>-2.6068777719636893E-2</c:v>
                </c:pt>
                <c:pt idx="2">
                  <c:v>0.13832226664702185</c:v>
                </c:pt>
                <c:pt idx="3">
                  <c:v>2.217642008362164E-2</c:v>
                </c:pt>
                <c:pt idx="4">
                  <c:v>-0.46563613548265925</c:v>
                </c:pt>
                <c:pt idx="5">
                  <c:v>-0.64789577162830259</c:v>
                </c:pt>
                <c:pt idx="6">
                  <c:v>-0.59607685546924705</c:v>
                </c:pt>
                <c:pt idx="7">
                  <c:v>-0.34234285220766514</c:v>
                </c:pt>
                <c:pt idx="8">
                  <c:v>-0.3191136828949851</c:v>
                </c:pt>
                <c:pt idx="9">
                  <c:v>-0.34234285220766514</c:v>
                </c:pt>
                <c:pt idx="10">
                  <c:v>-0.71400956121054582</c:v>
                </c:pt>
                <c:pt idx="11">
                  <c:v>-0.60679801053663796</c:v>
                </c:pt>
                <c:pt idx="12">
                  <c:v>-0.64789577162830259</c:v>
                </c:pt>
                <c:pt idx="13">
                  <c:v>-0.5942899962913486</c:v>
                </c:pt>
                <c:pt idx="14">
                  <c:v>-0.64789577162830259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-0.52817620670910548</c:v>
                </c:pt>
                <c:pt idx="1">
                  <c:v>-4.6264675848552983E-3</c:v>
                </c:pt>
                <c:pt idx="2">
                  <c:v>0.21158349294085887</c:v>
                </c:pt>
                <c:pt idx="3">
                  <c:v>-0.35306400727505594</c:v>
                </c:pt>
                <c:pt idx="4">
                  <c:v>-0.53174992506490237</c:v>
                </c:pt>
                <c:pt idx="5">
                  <c:v>-0.21726270975477258</c:v>
                </c:pt>
                <c:pt idx="6">
                  <c:v>-0.66040378587359183</c:v>
                </c:pt>
                <c:pt idx="7">
                  <c:v>-0.17973866701890484</c:v>
                </c:pt>
                <c:pt idx="8">
                  <c:v>-0.24049187906745262</c:v>
                </c:pt>
                <c:pt idx="9">
                  <c:v>-0.10111686319137247</c:v>
                </c:pt>
                <c:pt idx="10">
                  <c:v>-0.50316017821852699</c:v>
                </c:pt>
                <c:pt idx="11">
                  <c:v>-0.30303195029389896</c:v>
                </c:pt>
                <c:pt idx="12">
                  <c:v>0.49926782058251162</c:v>
                </c:pt>
                <c:pt idx="13">
                  <c:v>-0.69078039189786578</c:v>
                </c:pt>
                <c:pt idx="14">
                  <c:v>-0.63538775738301334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324.7502961330681</c:v>
                  </c:pt>
                  <c:pt idx="1">
                    <c:v>728.19133483617463</c:v>
                  </c:pt>
                  <c:pt idx="2">
                    <c:v>760.69995172758922</c:v>
                  </c:pt>
                  <c:pt idx="3">
                    <c:v>497.28757895735197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324.7502961330681</c:v>
                  </c:pt>
                  <c:pt idx="1">
                    <c:v>728.19133483617463</c:v>
                  </c:pt>
                  <c:pt idx="2">
                    <c:v>760.69995172758922</c:v>
                  </c:pt>
                  <c:pt idx="3">
                    <c:v>497.28757895735197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2221.2904248657824</c:v>
                </c:pt>
                <c:pt idx="1">
                  <c:v>6285.4904634578397</c:v>
                </c:pt>
                <c:pt idx="2">
                  <c:v>6509.4682285760409</c:v>
                </c:pt>
                <c:pt idx="3">
                  <c:v>8867.2630571173995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728.71755100495534</c:v>
                  </c:pt>
                  <c:pt idx="1">
                    <c:v>653.28866701027675</c:v>
                  </c:pt>
                  <c:pt idx="2">
                    <c:v>887.53900339907921</c:v>
                  </c:pt>
                  <c:pt idx="3">
                    <c:v>923.34911075275215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728.71755100495534</c:v>
                  </c:pt>
                  <c:pt idx="1">
                    <c:v>653.28866701027675</c:v>
                  </c:pt>
                  <c:pt idx="2">
                    <c:v>887.53900339907921</c:v>
                  </c:pt>
                  <c:pt idx="3">
                    <c:v>923.34911075275215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4582.0147405725329</c:v>
                </c:pt>
                <c:pt idx="1">
                  <c:v>6699.7552710006539</c:v>
                </c:pt>
                <c:pt idx="2">
                  <c:v>7128.8117203204965</c:v>
                </c:pt>
                <c:pt idx="3">
                  <c:v>11204.570918999894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1024.9165040624353</c:v>
                  </c:pt>
                  <c:pt idx="1">
                    <c:v>1102.2388673846783</c:v>
                  </c:pt>
                  <c:pt idx="2">
                    <c:v>2237.1214788809275</c:v>
                  </c:pt>
                  <c:pt idx="3">
                    <c:v>2064.1637754311082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1024.9165040624353</c:v>
                  </c:pt>
                  <c:pt idx="1">
                    <c:v>1102.2388673846783</c:v>
                  </c:pt>
                  <c:pt idx="2">
                    <c:v>2237.1214788809275</c:v>
                  </c:pt>
                  <c:pt idx="3">
                    <c:v>2064.1637754311082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4260.9215593967365</c:v>
                </c:pt>
                <c:pt idx="1">
                  <c:v>9585.6047437281813</c:v>
                </c:pt>
                <c:pt idx="2">
                  <c:v>9355.2462703924393</c:v>
                </c:pt>
                <c:pt idx="3">
                  <c:v>12323.529697227552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2665.3540147419676</c:v>
                </c:pt>
                <c:pt idx="1">
                  <c:v>3997.9142108493452</c:v>
                </c:pt>
                <c:pt idx="2">
                  <c:v>4932.5551008101911</c:v>
                </c:pt>
                <c:pt idx="3">
                  <c:v>9962.4343347504055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1804.8171599079069</c:v>
                </c:pt>
                <c:pt idx="1">
                  <c:v>8420.2084089960172</c:v>
                </c:pt>
                <c:pt idx="2">
                  <c:v>6638.1874317801976</c:v>
                </c:pt>
                <c:pt idx="3">
                  <c:v>8768.0039953076939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2989.7525907282738</c:v>
                </c:pt>
                <c:pt idx="1">
                  <c:v>6898.0822002143586</c:v>
                </c:pt>
                <c:pt idx="2">
                  <c:v>4683.7431267406773</c:v>
                </c:pt>
                <c:pt idx="3">
                  <c:v>3504.5678324650958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2467.9457908505956</c:v>
                </c:pt>
                <c:pt idx="1">
                  <c:v>6464.4516677817373</c:v>
                </c:pt>
                <c:pt idx="2">
                  <c:v>7711.9627591814515</c:v>
                </c:pt>
                <c:pt idx="3">
                  <c:v>9997.7242852273139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1178.5825681001681</c:v>
                </c:pt>
                <c:pt idx="1">
                  <c:v>5646.7958294477394</c:v>
                </c:pt>
                <c:pt idx="2">
                  <c:v>8580.8927243676881</c:v>
                </c:pt>
                <c:pt idx="3">
                  <c:v>7489.4562188122418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4883.5412807033745</c:v>
                </c:pt>
                <c:pt idx="1">
                  <c:v>7756.9582561852967</c:v>
                </c:pt>
                <c:pt idx="2">
                  <c:v>7249.8880081711377</c:v>
                </c:pt>
                <c:pt idx="3">
                  <c:v>14156.154000584065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7192.9914695578864</c:v>
                </c:pt>
                <c:pt idx="1">
                  <c:v>8190.0135851092255</c:v>
                </c:pt>
                <c:pt idx="2">
                  <c:v>10469.658510464073</c:v>
                </c:pt>
                <c:pt idx="3">
                  <c:v>10399.726726139768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3504.5678324650958</c:v>
                </c:pt>
                <c:pt idx="1">
                  <c:v>6099.2622514255427</c:v>
                </c:pt>
                <c:pt idx="2">
                  <c:v>5798.487526584935</c:v>
                </c:pt>
                <c:pt idx="3">
                  <c:v>12007.217996485977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4323.2201501169675</c:v>
                </c:pt>
                <c:pt idx="1">
                  <c:v>6938.9621566208043</c:v>
                </c:pt>
                <c:pt idx="2">
                  <c:v>6581.1693712989118</c:v>
                </c:pt>
                <c:pt idx="3">
                  <c:v>8568.375971960244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3005.7529700193422</c:v>
                </c:pt>
                <c:pt idx="1">
                  <c:v>4513.5801056624005</c:v>
                </c:pt>
                <c:pt idx="2">
                  <c:v>5544.8551850834301</c:v>
                </c:pt>
                <c:pt idx="3">
                  <c:v>10891.379899829419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1866.0155726495423</c:v>
                </c:pt>
                <c:pt idx="1">
                  <c:v>9119.2264982979123</c:v>
                </c:pt>
                <c:pt idx="2">
                  <c:v>8162.3471064869482</c:v>
                </c:pt>
                <c:pt idx="3">
                  <c:v>11184.879515503757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6930.2449879538735</c:v>
                </c:pt>
                <c:pt idx="1">
                  <c:v>11673.016656478307</c:v>
                </c:pt>
                <c:pt idx="2">
                  <c:v>10558.960880552906</c:v>
                </c:pt>
                <c:pt idx="3">
                  <c:v>7435.2088569221187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3776.0719900253844</c:v>
                </c:pt>
                <c:pt idx="1">
                  <c:v>12316.450643341712</c:v>
                </c:pt>
                <c:pt idx="2">
                  <c:v>3438.6624727016324</c:v>
                </c:pt>
                <c:pt idx="3">
                  <c:v>18016.595892607111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2379.8100306948832</c:v>
                </c:pt>
                <c:pt idx="1">
                  <c:v>6227.1113580545798</c:v>
                </c:pt>
                <c:pt idx="2">
                  <c:v>7576.4658763241769</c:v>
                </c:pt>
                <c:pt idx="3">
                  <c:v>8778.5763978266023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6352.4652156599968</c:v>
                </c:pt>
                <c:pt idx="1">
                  <c:v>8592.2185624684025</c:v>
                </c:pt>
                <c:pt idx="2">
                  <c:v>17039.795015896532</c:v>
                </c:pt>
                <c:pt idx="3">
                  <c:v>16202.38782327817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2665.3540147419676</c:v>
                </c:pt>
                <c:pt idx="1">
                  <c:v>1804.8171599079069</c:v>
                </c:pt>
                <c:pt idx="2">
                  <c:v>2989.7525907282738</c:v>
                </c:pt>
                <c:pt idx="3">
                  <c:v>2467.9457908505956</c:v>
                </c:pt>
                <c:pt idx="4">
                  <c:v>1178.5825681001681</c:v>
                </c:pt>
                <c:pt idx="5">
                  <c:v>4883.5412807033745</c:v>
                </c:pt>
                <c:pt idx="6">
                  <c:v>7192.9914695578864</c:v>
                </c:pt>
                <c:pt idx="7">
                  <c:v>3504.5678324650958</c:v>
                </c:pt>
                <c:pt idx="8">
                  <c:v>4323.2201501169675</c:v>
                </c:pt>
                <c:pt idx="9">
                  <c:v>3005.7529700193422</c:v>
                </c:pt>
                <c:pt idx="10">
                  <c:v>1866.0155726495423</c:v>
                </c:pt>
                <c:pt idx="11">
                  <c:v>6930.2449879538735</c:v>
                </c:pt>
                <c:pt idx="12">
                  <c:v>3776.0719900253844</c:v>
                </c:pt>
                <c:pt idx="13">
                  <c:v>2379.8100306948832</c:v>
                </c:pt>
                <c:pt idx="14">
                  <c:v>6352.4652156599968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3997.9142108493452</c:v>
                </c:pt>
                <c:pt idx="1">
                  <c:v>8420.2084089960172</c:v>
                </c:pt>
                <c:pt idx="2">
                  <c:v>6898.0822002143586</c:v>
                </c:pt>
                <c:pt idx="3">
                  <c:v>6464.4516677817373</c:v>
                </c:pt>
                <c:pt idx="4">
                  <c:v>5646.7958294477394</c:v>
                </c:pt>
                <c:pt idx="5">
                  <c:v>7756.9582561852967</c:v>
                </c:pt>
                <c:pt idx="6">
                  <c:v>8190.0135851092255</c:v>
                </c:pt>
                <c:pt idx="7">
                  <c:v>6099.2622514255427</c:v>
                </c:pt>
                <c:pt idx="8">
                  <c:v>6938.9621566208043</c:v>
                </c:pt>
                <c:pt idx="9">
                  <c:v>4513.5801056624005</c:v>
                </c:pt>
                <c:pt idx="10">
                  <c:v>9119.2264982979123</c:v>
                </c:pt>
                <c:pt idx="11">
                  <c:v>11673.016656478307</c:v>
                </c:pt>
                <c:pt idx="12">
                  <c:v>12316.450643341712</c:v>
                </c:pt>
                <c:pt idx="13">
                  <c:v>6227.1113580545798</c:v>
                </c:pt>
                <c:pt idx="14">
                  <c:v>8592.2185624684025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4932.5551008101911</c:v>
                </c:pt>
                <c:pt idx="1">
                  <c:v>6638.1874317801976</c:v>
                </c:pt>
                <c:pt idx="2">
                  <c:v>4683.7431267406773</c:v>
                </c:pt>
                <c:pt idx="3">
                  <c:v>7711.9627591814515</c:v>
                </c:pt>
                <c:pt idx="4">
                  <c:v>8580.8927243676881</c:v>
                </c:pt>
                <c:pt idx="5">
                  <c:v>7249.8880081711377</c:v>
                </c:pt>
                <c:pt idx="6">
                  <c:v>10469.658510464073</c:v>
                </c:pt>
                <c:pt idx="7">
                  <c:v>5798.487526584935</c:v>
                </c:pt>
                <c:pt idx="8">
                  <c:v>6581.1693712989118</c:v>
                </c:pt>
                <c:pt idx="9">
                  <c:v>5544.8551850834301</c:v>
                </c:pt>
                <c:pt idx="10">
                  <c:v>8162.3471064869482</c:v>
                </c:pt>
                <c:pt idx="11">
                  <c:v>10558.960880552906</c:v>
                </c:pt>
                <c:pt idx="12">
                  <c:v>3438.6624727016324</c:v>
                </c:pt>
                <c:pt idx="13">
                  <c:v>7576.4658763241769</c:v>
                </c:pt>
                <c:pt idx="14">
                  <c:v>17039.795015896532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2665.3540147419676</c:v>
                </c:pt>
                <c:pt idx="1">
                  <c:v>1804.8171599079069</c:v>
                </c:pt>
                <c:pt idx="2">
                  <c:v>2989.7525907282738</c:v>
                </c:pt>
                <c:pt idx="3">
                  <c:v>2467.9457908505956</c:v>
                </c:pt>
                <c:pt idx="4">
                  <c:v>1178.5825681001681</c:v>
                </c:pt>
                <c:pt idx="5">
                  <c:v>4883.5412807033745</c:v>
                </c:pt>
                <c:pt idx="6">
                  <c:v>7192.9914695578864</c:v>
                </c:pt>
                <c:pt idx="7">
                  <c:v>3504.5678324650958</c:v>
                </c:pt>
                <c:pt idx="8">
                  <c:v>4323.2201501169675</c:v>
                </c:pt>
                <c:pt idx="9">
                  <c:v>3005.7529700193422</c:v>
                </c:pt>
                <c:pt idx="10">
                  <c:v>1866.0155726495423</c:v>
                </c:pt>
                <c:pt idx="11">
                  <c:v>6930.2449879538735</c:v>
                </c:pt>
                <c:pt idx="12">
                  <c:v>3776.0719900253844</c:v>
                </c:pt>
                <c:pt idx="13">
                  <c:v>2379.8100306948832</c:v>
                </c:pt>
                <c:pt idx="14">
                  <c:v>6352.4652156599968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3997.9142108493452</c:v>
                </c:pt>
                <c:pt idx="1">
                  <c:v>8420.2084089960172</c:v>
                </c:pt>
                <c:pt idx="2">
                  <c:v>6898.0822002143586</c:v>
                </c:pt>
                <c:pt idx="3">
                  <c:v>6464.4516677817373</c:v>
                </c:pt>
                <c:pt idx="4">
                  <c:v>5646.7958294477394</c:v>
                </c:pt>
                <c:pt idx="5">
                  <c:v>7756.9582561852967</c:v>
                </c:pt>
                <c:pt idx="6">
                  <c:v>8190.0135851092255</c:v>
                </c:pt>
                <c:pt idx="7">
                  <c:v>6099.2622514255427</c:v>
                </c:pt>
                <c:pt idx="8">
                  <c:v>6938.9621566208043</c:v>
                </c:pt>
                <c:pt idx="9">
                  <c:v>4513.5801056624005</c:v>
                </c:pt>
                <c:pt idx="10">
                  <c:v>9119.2264982979123</c:v>
                </c:pt>
                <c:pt idx="11">
                  <c:v>11673.016656478307</c:v>
                </c:pt>
                <c:pt idx="12">
                  <c:v>12316.450643341712</c:v>
                </c:pt>
                <c:pt idx="13">
                  <c:v>6227.1113580545798</c:v>
                </c:pt>
                <c:pt idx="14">
                  <c:v>8592.2185624684025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4932.5551008101911</c:v>
                </c:pt>
                <c:pt idx="1">
                  <c:v>6638.1874317801976</c:v>
                </c:pt>
                <c:pt idx="2">
                  <c:v>4683.7431267406773</c:v>
                </c:pt>
                <c:pt idx="3">
                  <c:v>7711.9627591814515</c:v>
                </c:pt>
                <c:pt idx="4">
                  <c:v>8580.8927243676881</c:v>
                </c:pt>
                <c:pt idx="5">
                  <c:v>7249.8880081711377</c:v>
                </c:pt>
                <c:pt idx="6">
                  <c:v>10469.658510464073</c:v>
                </c:pt>
                <c:pt idx="7">
                  <c:v>5798.487526584935</c:v>
                </c:pt>
                <c:pt idx="8">
                  <c:v>6581.1693712989118</c:v>
                </c:pt>
                <c:pt idx="9">
                  <c:v>5544.8551850834301</c:v>
                </c:pt>
                <c:pt idx="10">
                  <c:v>8162.3471064869482</c:v>
                </c:pt>
                <c:pt idx="11">
                  <c:v>10558.960880552906</c:v>
                </c:pt>
                <c:pt idx="12">
                  <c:v>3438.6624727016324</c:v>
                </c:pt>
                <c:pt idx="13">
                  <c:v>7576.4658763241769</c:v>
                </c:pt>
                <c:pt idx="14">
                  <c:v>17039.795015896532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2665.3540147419676</c:v>
                </c:pt>
                <c:pt idx="1">
                  <c:v>1804.8171599079069</c:v>
                </c:pt>
                <c:pt idx="2">
                  <c:v>2989.7525907282738</c:v>
                </c:pt>
                <c:pt idx="3">
                  <c:v>2467.9457908505956</c:v>
                </c:pt>
                <c:pt idx="4">
                  <c:v>1178.5825681001681</c:v>
                </c:pt>
                <c:pt idx="5">
                  <c:v>4883.5412807033745</c:v>
                </c:pt>
                <c:pt idx="6">
                  <c:v>7192.9914695578864</c:v>
                </c:pt>
                <c:pt idx="7">
                  <c:v>3504.5678324650958</c:v>
                </c:pt>
                <c:pt idx="8">
                  <c:v>4323.2201501169675</c:v>
                </c:pt>
                <c:pt idx="9">
                  <c:v>3005.7529700193422</c:v>
                </c:pt>
                <c:pt idx="10">
                  <c:v>1866.0155726495423</c:v>
                </c:pt>
                <c:pt idx="11">
                  <c:v>6930.2449879538735</c:v>
                </c:pt>
                <c:pt idx="12">
                  <c:v>3776.0719900253844</c:v>
                </c:pt>
                <c:pt idx="13">
                  <c:v>2379.8100306948832</c:v>
                </c:pt>
                <c:pt idx="14">
                  <c:v>6352.4652156599968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3997.9142108493452</c:v>
                </c:pt>
                <c:pt idx="1">
                  <c:v>8420.2084089960172</c:v>
                </c:pt>
                <c:pt idx="2">
                  <c:v>6898.0822002143586</c:v>
                </c:pt>
                <c:pt idx="3">
                  <c:v>6464.4516677817373</c:v>
                </c:pt>
                <c:pt idx="4">
                  <c:v>5646.7958294477394</c:v>
                </c:pt>
                <c:pt idx="5">
                  <c:v>7756.9582561852967</c:v>
                </c:pt>
                <c:pt idx="6">
                  <c:v>8190.0135851092255</c:v>
                </c:pt>
                <c:pt idx="7">
                  <c:v>6099.2622514255427</c:v>
                </c:pt>
                <c:pt idx="8">
                  <c:v>6938.9621566208043</c:v>
                </c:pt>
                <c:pt idx="9">
                  <c:v>4513.5801056624005</c:v>
                </c:pt>
                <c:pt idx="10">
                  <c:v>9119.2264982979123</c:v>
                </c:pt>
                <c:pt idx="11">
                  <c:v>11673.016656478307</c:v>
                </c:pt>
                <c:pt idx="12">
                  <c:v>12316.450643341712</c:v>
                </c:pt>
                <c:pt idx="13">
                  <c:v>6227.1113580545798</c:v>
                </c:pt>
                <c:pt idx="14">
                  <c:v>8592.2185624684025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4932.5551008101911</c:v>
                </c:pt>
                <c:pt idx="1">
                  <c:v>6638.1874317801976</c:v>
                </c:pt>
                <c:pt idx="2">
                  <c:v>4683.7431267406773</c:v>
                </c:pt>
                <c:pt idx="3">
                  <c:v>7711.9627591814515</c:v>
                </c:pt>
                <c:pt idx="4">
                  <c:v>8580.8927243676881</c:v>
                </c:pt>
                <c:pt idx="5">
                  <c:v>7249.8880081711377</c:v>
                </c:pt>
                <c:pt idx="6">
                  <c:v>10469.658510464073</c:v>
                </c:pt>
                <c:pt idx="7">
                  <c:v>5798.487526584935</c:v>
                </c:pt>
                <c:pt idx="8">
                  <c:v>6581.1693712989118</c:v>
                </c:pt>
                <c:pt idx="9">
                  <c:v>5544.8551850834301</c:v>
                </c:pt>
                <c:pt idx="10">
                  <c:v>8162.3471064869482</c:v>
                </c:pt>
                <c:pt idx="11">
                  <c:v>10558.960880552906</c:v>
                </c:pt>
                <c:pt idx="12">
                  <c:v>3438.6624727016324</c:v>
                </c:pt>
                <c:pt idx="13">
                  <c:v>7576.4658763241769</c:v>
                </c:pt>
                <c:pt idx="14">
                  <c:v>17039.795015896532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1397001</xdr:colOff>
      <xdr:row>24</xdr:row>
      <xdr:rowOff>10584</xdr:rowOff>
    </xdr:from>
    <xdr:to>
      <xdr:col>24</xdr:col>
      <xdr:colOff>254000</xdr:colOff>
      <xdr:row>38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opLeftCell="A10" zoomScale="90" zoomScaleNormal="90" workbookViewId="0">
      <selection activeCell="O38" sqref="O38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5" customWidth="1"/>
    <col min="4" max="4" width="11.42578125" style="15" customWidth="1"/>
    <col min="5" max="5" width="8.7109375" style="15"/>
    <col min="6" max="6" width="9.28515625" style="15" customWidth="1"/>
    <col min="7" max="7" width="10.5703125" style="15" customWidth="1"/>
    <col min="8" max="10" width="8.7109375" style="15"/>
    <col min="12" max="12" width="9.5703125" customWidth="1"/>
    <col min="14" max="14" width="9.42578125" customWidth="1"/>
    <col min="16" max="16" width="13.5703125" customWidth="1"/>
    <col min="17" max="17" width="21.28515625" customWidth="1"/>
  </cols>
  <sheetData>
    <row r="2" spans="1:28" x14ac:dyDescent="0.3">
      <c r="A2" s="3" t="s">
        <v>10</v>
      </c>
      <c r="H2" s="78"/>
    </row>
    <row r="3" spans="1:28" x14ac:dyDescent="0.3">
      <c r="A3" s="3" t="s">
        <v>11</v>
      </c>
      <c r="H3" s="78"/>
    </row>
    <row r="4" spans="1:28" x14ac:dyDescent="0.3">
      <c r="A4" s="3" t="s">
        <v>48</v>
      </c>
      <c r="B4" s="4"/>
      <c r="H4" s="78"/>
      <c r="K4" s="1"/>
    </row>
    <row r="5" spans="1:28" ht="17.25" thickBot="1" x14ac:dyDescent="0.35">
      <c r="B5" s="4"/>
      <c r="H5" s="78"/>
      <c r="K5" s="1"/>
    </row>
    <row r="6" spans="1:28" ht="50.25" thickBot="1" x14ac:dyDescent="0.3">
      <c r="A6" s="23" t="s">
        <v>4</v>
      </c>
      <c r="B6" s="24" t="s">
        <v>3</v>
      </c>
      <c r="C6" s="24" t="s">
        <v>1</v>
      </c>
      <c r="D6" s="24" t="s">
        <v>5</v>
      </c>
      <c r="E6" s="24" t="s">
        <v>2</v>
      </c>
      <c r="F6" s="24" t="s">
        <v>35</v>
      </c>
      <c r="G6" s="25" t="s">
        <v>6</v>
      </c>
      <c r="H6" s="25" t="s">
        <v>7</v>
      </c>
      <c r="I6" s="25" t="s">
        <v>8</v>
      </c>
      <c r="J6" s="26" t="s">
        <v>9</v>
      </c>
      <c r="L6" s="76" t="s">
        <v>12</v>
      </c>
    </row>
    <row r="7" spans="1:28" ht="17.25" thickBot="1" x14ac:dyDescent="0.35">
      <c r="A7" s="77">
        <v>44559</v>
      </c>
      <c r="B7" s="19">
        <v>44585</v>
      </c>
      <c r="C7" s="20" t="s">
        <v>18</v>
      </c>
      <c r="D7" s="20" t="s">
        <v>19</v>
      </c>
      <c r="E7" s="20">
        <v>10</v>
      </c>
      <c r="F7" s="20">
        <v>1</v>
      </c>
      <c r="G7" s="20">
        <v>629</v>
      </c>
      <c r="H7" s="20">
        <v>386994</v>
      </c>
      <c r="I7" s="20">
        <f>(G7*$AA$14)+$AA$15</f>
        <v>4.3618730218403234E-2</v>
      </c>
      <c r="J7" s="21">
        <f t="shared" ref="J7:J38" si="0">(H7*$AA$29)+$AA$30</f>
        <v>2665.3540147419676</v>
      </c>
      <c r="L7" s="124" t="s">
        <v>13</v>
      </c>
      <c r="M7" s="125" t="s">
        <v>14</v>
      </c>
      <c r="N7" s="125" t="s">
        <v>0</v>
      </c>
      <c r="O7" s="126" t="s">
        <v>26</v>
      </c>
      <c r="P7" s="127" t="s">
        <v>27</v>
      </c>
    </row>
    <row r="8" spans="1:28" x14ac:dyDescent="0.3">
      <c r="A8" s="85">
        <v>44559</v>
      </c>
      <c r="B8" s="13">
        <v>44585</v>
      </c>
      <c r="C8" s="16" t="s">
        <v>18</v>
      </c>
      <c r="D8" s="16" t="s">
        <v>19</v>
      </c>
      <c r="E8" s="16">
        <v>20</v>
      </c>
      <c r="F8" s="16">
        <v>2</v>
      </c>
      <c r="G8" s="16">
        <v>333</v>
      </c>
      <c r="H8" s="16">
        <v>551478</v>
      </c>
      <c r="I8" s="16">
        <f t="shared" ref="I8:I66" si="1">(G8*$AA$14)+$AA$15</f>
        <v>-0.48529158643954229</v>
      </c>
      <c r="J8" s="17">
        <f t="shared" si="0"/>
        <v>3997.9142108493452</v>
      </c>
      <c r="L8" s="122" t="s">
        <v>28</v>
      </c>
      <c r="M8" s="53">
        <v>7.5</v>
      </c>
      <c r="N8" s="53">
        <v>4216</v>
      </c>
      <c r="O8" s="54">
        <f>AVERAGE(M8:M10)</f>
        <v>7.5</v>
      </c>
      <c r="P8" s="55">
        <f>AVERAGE(N8:N10)</f>
        <v>4728.333333333333</v>
      </c>
    </row>
    <row r="9" spans="1:28" x14ac:dyDescent="0.3">
      <c r="A9" s="85">
        <v>44559</v>
      </c>
      <c r="B9" s="13">
        <v>44585</v>
      </c>
      <c r="C9" s="16" t="s">
        <v>18</v>
      </c>
      <c r="D9" s="16" t="s">
        <v>19</v>
      </c>
      <c r="E9" s="16">
        <v>35</v>
      </c>
      <c r="F9" s="16">
        <v>3</v>
      </c>
      <c r="G9" s="16">
        <v>309</v>
      </c>
      <c r="H9" s="16">
        <v>666845</v>
      </c>
      <c r="I9" s="16">
        <f t="shared" si="1"/>
        <v>-0.52817620670910548</v>
      </c>
      <c r="J9" s="17">
        <f t="shared" si="0"/>
        <v>4932.5551008101911</v>
      </c>
      <c r="L9" s="123" t="s">
        <v>28</v>
      </c>
      <c r="M9" s="56">
        <v>7.5</v>
      </c>
      <c r="N9" s="56">
        <v>5015</v>
      </c>
      <c r="O9" s="57"/>
      <c r="P9" s="58"/>
      <c r="AB9" s="2"/>
    </row>
    <row r="10" spans="1:28" ht="17.25" thickBot="1" x14ac:dyDescent="0.35">
      <c r="A10" s="85">
        <v>44559</v>
      </c>
      <c r="B10" s="13">
        <v>44585</v>
      </c>
      <c r="C10" s="16" t="s">
        <v>18</v>
      </c>
      <c r="D10" s="16" t="s">
        <v>19</v>
      </c>
      <c r="E10" s="16">
        <v>50</v>
      </c>
      <c r="F10" s="16">
        <v>4</v>
      </c>
      <c r="G10" s="16">
        <v>262</v>
      </c>
      <c r="H10" s="16">
        <v>1287706</v>
      </c>
      <c r="I10" s="16">
        <f t="shared" si="1"/>
        <v>-0.6121585880703333</v>
      </c>
      <c r="J10" s="17">
        <f t="shared" si="0"/>
        <v>9962.4343347504055</v>
      </c>
      <c r="L10" s="128" t="s">
        <v>28</v>
      </c>
      <c r="M10" s="65">
        <v>7.5</v>
      </c>
      <c r="N10" s="59">
        <v>4954</v>
      </c>
      <c r="O10" s="59"/>
      <c r="P10" s="60"/>
      <c r="AB10" s="2"/>
    </row>
    <row r="11" spans="1:28" x14ac:dyDescent="0.3">
      <c r="A11" s="86">
        <v>44559</v>
      </c>
      <c r="B11" s="28">
        <v>44585</v>
      </c>
      <c r="C11" s="29" t="s">
        <v>18</v>
      </c>
      <c r="D11" s="29" t="s">
        <v>20</v>
      </c>
      <c r="E11" s="29">
        <v>10</v>
      </c>
      <c r="F11" s="29">
        <v>5</v>
      </c>
      <c r="G11" s="29">
        <v>885</v>
      </c>
      <c r="H11" s="29">
        <v>280774</v>
      </c>
      <c r="I11" s="29">
        <f t="shared" si="1"/>
        <v>0.50105467976041007</v>
      </c>
      <c r="J11" s="30">
        <f t="shared" si="0"/>
        <v>1804.8171599079069</v>
      </c>
      <c r="L11" s="64" t="s">
        <v>29</v>
      </c>
      <c r="M11" s="53">
        <v>5</v>
      </c>
      <c r="N11" s="53">
        <v>3246</v>
      </c>
      <c r="O11" s="54">
        <f>AVERAGE(M11:M13)</f>
        <v>5</v>
      </c>
      <c r="P11" s="55">
        <f>AVERAGE(N11:N13)</f>
        <v>3459.3333333333335</v>
      </c>
      <c r="AB11" s="2"/>
    </row>
    <row r="12" spans="1:28" x14ac:dyDescent="0.3">
      <c r="A12" s="87">
        <v>44559</v>
      </c>
      <c r="B12" s="31">
        <v>44585</v>
      </c>
      <c r="C12" s="32" t="s">
        <v>18</v>
      </c>
      <c r="D12" s="32" t="s">
        <v>20</v>
      </c>
      <c r="E12" s="32">
        <v>20</v>
      </c>
      <c r="F12" s="32">
        <v>6</v>
      </c>
      <c r="G12" s="32">
        <v>590</v>
      </c>
      <c r="H12" s="32">
        <v>1097342</v>
      </c>
      <c r="I12" s="32">
        <f t="shared" si="1"/>
        <v>-2.6068777719636893E-2</v>
      </c>
      <c r="J12" s="33">
        <f t="shared" si="0"/>
        <v>8420.2084089960172</v>
      </c>
      <c r="L12" s="9" t="s">
        <v>29</v>
      </c>
      <c r="M12" s="56">
        <v>5</v>
      </c>
      <c r="N12" s="56">
        <v>3565</v>
      </c>
      <c r="O12" s="57"/>
      <c r="P12" s="58"/>
      <c r="AB12" s="2"/>
    </row>
    <row r="13" spans="1:28" ht="17.25" thickBot="1" x14ac:dyDescent="0.35">
      <c r="A13" s="87">
        <v>44559</v>
      </c>
      <c r="B13" s="31">
        <v>44585</v>
      </c>
      <c r="C13" s="32" t="s">
        <v>18</v>
      </c>
      <c r="D13" s="32" t="s">
        <v>20</v>
      </c>
      <c r="E13" s="32">
        <v>35</v>
      </c>
      <c r="F13" s="32">
        <v>7</v>
      </c>
      <c r="G13" s="32">
        <v>602</v>
      </c>
      <c r="H13" s="32">
        <v>877379</v>
      </c>
      <c r="I13" s="32">
        <f t="shared" si="1"/>
        <v>-4.6264675848552983E-3</v>
      </c>
      <c r="J13" s="33">
        <f t="shared" si="0"/>
        <v>6638.1874317801976</v>
      </c>
      <c r="L13" s="11" t="s">
        <v>29</v>
      </c>
      <c r="M13" s="65">
        <v>5</v>
      </c>
      <c r="N13" s="65">
        <v>3567</v>
      </c>
      <c r="O13" s="59"/>
      <c r="P13" s="60"/>
      <c r="AB13" s="2"/>
    </row>
    <row r="14" spans="1:28" ht="17.25" thickBot="1" x14ac:dyDescent="0.35">
      <c r="A14" s="87">
        <v>44559</v>
      </c>
      <c r="B14" s="31">
        <v>44585</v>
      </c>
      <c r="C14" s="32" t="s">
        <v>18</v>
      </c>
      <c r="D14" s="32" t="s">
        <v>20</v>
      </c>
      <c r="E14" s="32">
        <v>50</v>
      </c>
      <c r="F14" s="32">
        <v>8</v>
      </c>
      <c r="G14" s="32">
        <v>505</v>
      </c>
      <c r="H14" s="32">
        <v>1140272</v>
      </c>
      <c r="I14" s="32">
        <f t="shared" si="1"/>
        <v>-0.17795180784100639</v>
      </c>
      <c r="J14" s="33">
        <f t="shared" si="0"/>
        <v>8768.0039953076939</v>
      </c>
      <c r="L14" s="64" t="s">
        <v>30</v>
      </c>
      <c r="M14" s="53">
        <v>3</v>
      </c>
      <c r="N14" s="53">
        <v>2274</v>
      </c>
      <c r="O14" s="54">
        <f>AVERAGE(M14:M16)</f>
        <v>3</v>
      </c>
      <c r="P14" s="55">
        <f>AVERAGE(N14:N16)</f>
        <v>2355.3333333333335</v>
      </c>
      <c r="Z14" s="3" t="s">
        <v>15</v>
      </c>
      <c r="AA14" s="2">
        <f>SLOPE(O8:O22,P8:P22)</f>
        <v>1.7868591778984646E-3</v>
      </c>
      <c r="AB14" s="2"/>
    </row>
    <row r="15" spans="1:28" x14ac:dyDescent="0.3">
      <c r="A15" s="77">
        <v>44559</v>
      </c>
      <c r="B15" s="19">
        <v>44585</v>
      </c>
      <c r="C15" s="20" t="s">
        <v>18</v>
      </c>
      <c r="D15" s="20" t="s">
        <v>21</v>
      </c>
      <c r="E15" s="20">
        <v>10</v>
      </c>
      <c r="F15" s="20">
        <v>9</v>
      </c>
      <c r="G15" s="20">
        <v>954</v>
      </c>
      <c r="H15" s="20">
        <v>427036</v>
      </c>
      <c r="I15" s="20">
        <f t="shared" si="1"/>
        <v>0.6243479630354043</v>
      </c>
      <c r="J15" s="21">
        <f t="shared" si="0"/>
        <v>2989.7525907282738</v>
      </c>
      <c r="L15" s="9" t="s">
        <v>30</v>
      </c>
      <c r="M15" s="56">
        <v>3</v>
      </c>
      <c r="N15" s="56">
        <v>2442</v>
      </c>
      <c r="O15" s="57"/>
      <c r="P15" s="58"/>
      <c r="Z15" s="3" t="s">
        <v>16</v>
      </c>
      <c r="AA15" s="2">
        <f>INTERCEPT(O8:O22,P8:P22)</f>
        <v>-1.080315692679731</v>
      </c>
      <c r="AB15" s="2"/>
    </row>
    <row r="16" spans="1:28" ht="17.25" thickBot="1" x14ac:dyDescent="0.35">
      <c r="A16" s="85">
        <v>44559</v>
      </c>
      <c r="B16" s="13">
        <v>44585</v>
      </c>
      <c r="C16" s="16" t="s">
        <v>18</v>
      </c>
      <c r="D16" s="16" t="s">
        <v>21</v>
      </c>
      <c r="E16" s="16">
        <v>20</v>
      </c>
      <c r="F16" s="16">
        <v>10</v>
      </c>
      <c r="G16" s="16">
        <v>682</v>
      </c>
      <c r="H16" s="16">
        <v>909459</v>
      </c>
      <c r="I16" s="16">
        <f t="shared" si="1"/>
        <v>0.13832226664702185</v>
      </c>
      <c r="J16" s="17">
        <f t="shared" si="0"/>
        <v>6898.0822002143586</v>
      </c>
      <c r="L16" s="11" t="s">
        <v>30</v>
      </c>
      <c r="M16" s="65">
        <v>3</v>
      </c>
      <c r="N16" s="65">
        <v>2350</v>
      </c>
      <c r="O16" s="59"/>
      <c r="P16" s="60"/>
      <c r="Z16" s="3" t="s">
        <v>17</v>
      </c>
      <c r="AA16" s="2">
        <f>RSQ(O8:O22,P8:P22)</f>
        <v>0.99757795246102854</v>
      </c>
      <c r="AB16" s="2"/>
    </row>
    <row r="17" spans="1:28" x14ac:dyDescent="0.3">
      <c r="A17" s="85">
        <v>44559</v>
      </c>
      <c r="B17" s="13">
        <v>44585</v>
      </c>
      <c r="C17" s="16" t="s">
        <v>18</v>
      </c>
      <c r="D17" s="16" t="s">
        <v>21</v>
      </c>
      <c r="E17" s="16">
        <v>35</v>
      </c>
      <c r="F17" s="16">
        <v>11</v>
      </c>
      <c r="G17" s="16">
        <v>723</v>
      </c>
      <c r="H17" s="16">
        <v>636133</v>
      </c>
      <c r="I17" s="16">
        <f t="shared" si="1"/>
        <v>0.21158349294085887</v>
      </c>
      <c r="J17" s="17">
        <f t="shared" si="0"/>
        <v>4683.7431267406773</v>
      </c>
      <c r="L17" s="64" t="s">
        <v>31</v>
      </c>
      <c r="M17" s="53">
        <v>1.5</v>
      </c>
      <c r="N17" s="53">
        <v>1403</v>
      </c>
      <c r="O17" s="54">
        <f>AVERAGE(M17:M19)</f>
        <v>1.5</v>
      </c>
      <c r="P17" s="55">
        <f>AVERAGE(N17:N19)</f>
        <v>1482.3333333333333</v>
      </c>
      <c r="Z17" s="2"/>
      <c r="AA17" s="2"/>
      <c r="AB17" s="2"/>
    </row>
    <row r="18" spans="1:28" ht="17.25" thickBot="1" x14ac:dyDescent="0.35">
      <c r="A18" s="88">
        <v>44559</v>
      </c>
      <c r="B18" s="34">
        <v>44585</v>
      </c>
      <c r="C18" s="35" t="s">
        <v>18</v>
      </c>
      <c r="D18" s="35" t="s">
        <v>21</v>
      </c>
      <c r="E18" s="35">
        <v>50</v>
      </c>
      <c r="F18" s="35">
        <v>12</v>
      </c>
      <c r="G18" s="35">
        <v>637</v>
      </c>
      <c r="H18" s="35">
        <v>1060125</v>
      </c>
      <c r="I18" s="35">
        <f t="shared" si="1"/>
        <v>5.7913603641591038E-2</v>
      </c>
      <c r="J18" s="36">
        <f t="shared" si="0"/>
        <v>8118.6964514893407</v>
      </c>
      <c r="L18" s="9" t="s">
        <v>31</v>
      </c>
      <c r="M18" s="56">
        <v>1.5</v>
      </c>
      <c r="N18" s="56">
        <v>1567</v>
      </c>
      <c r="O18" s="57"/>
      <c r="P18" s="58"/>
      <c r="Z18" s="2"/>
      <c r="AA18" s="2"/>
      <c r="AB18" s="2"/>
    </row>
    <row r="19" spans="1:28" ht="17.25" thickBot="1" x14ac:dyDescent="0.35">
      <c r="A19" s="77">
        <v>44559</v>
      </c>
      <c r="B19" s="19">
        <v>44585</v>
      </c>
      <c r="C19" s="20" t="s">
        <v>18</v>
      </c>
      <c r="D19" s="20" t="s">
        <v>22</v>
      </c>
      <c r="E19" s="20">
        <v>10</v>
      </c>
      <c r="F19" s="20">
        <v>13</v>
      </c>
      <c r="G19" s="20">
        <v>753</v>
      </c>
      <c r="H19" s="20">
        <v>362627</v>
      </c>
      <c r="I19" s="20">
        <f t="shared" si="1"/>
        <v>0.26518926827781275</v>
      </c>
      <c r="J19" s="21">
        <f t="shared" si="0"/>
        <v>2467.9457908505956</v>
      </c>
      <c r="L19" s="11" t="s">
        <v>31</v>
      </c>
      <c r="M19" s="65">
        <v>1.5</v>
      </c>
      <c r="N19" s="65">
        <v>1477</v>
      </c>
      <c r="O19" s="59"/>
      <c r="P19" s="60"/>
      <c r="Z19" s="2"/>
      <c r="AA19" s="2"/>
      <c r="AB19" s="2"/>
    </row>
    <row r="20" spans="1:28" x14ac:dyDescent="0.3">
      <c r="A20" s="85">
        <v>44559</v>
      </c>
      <c r="B20" s="13">
        <v>44585</v>
      </c>
      <c r="C20" s="16" t="s">
        <v>18</v>
      </c>
      <c r="D20" s="16" t="s">
        <v>22</v>
      </c>
      <c r="E20" s="16">
        <v>20</v>
      </c>
      <c r="F20" s="16">
        <v>14</v>
      </c>
      <c r="G20" s="16">
        <v>617</v>
      </c>
      <c r="H20" s="16">
        <v>855934</v>
      </c>
      <c r="I20" s="16">
        <f t="shared" si="1"/>
        <v>2.217642008362164E-2</v>
      </c>
      <c r="J20" s="17">
        <f t="shared" si="0"/>
        <v>6464.4516677817373</v>
      </c>
      <c r="L20" s="7" t="s">
        <v>32</v>
      </c>
      <c r="M20" s="61">
        <v>0.5</v>
      </c>
      <c r="N20" s="61">
        <v>766</v>
      </c>
      <c r="O20" s="62">
        <f>AVERAGE(M20:M22)</f>
        <v>0.5</v>
      </c>
      <c r="P20" s="63">
        <f>AVERAGE(N20:N22)</f>
        <v>791.33333333333337</v>
      </c>
      <c r="Z20" s="2"/>
      <c r="AA20" s="2"/>
      <c r="AB20" s="2"/>
    </row>
    <row r="21" spans="1:28" x14ac:dyDescent="0.3">
      <c r="A21" s="85">
        <v>44559</v>
      </c>
      <c r="B21" s="13">
        <v>44585</v>
      </c>
      <c r="C21" s="16" t="s">
        <v>18</v>
      </c>
      <c r="D21" s="16" t="s">
        <v>22</v>
      </c>
      <c r="E21" s="16">
        <v>35</v>
      </c>
      <c r="F21" s="16">
        <v>15</v>
      </c>
      <c r="G21" s="16">
        <v>407</v>
      </c>
      <c r="H21" s="16">
        <v>1009920</v>
      </c>
      <c r="I21" s="16">
        <f t="shared" si="1"/>
        <v>-0.35306400727505594</v>
      </c>
      <c r="J21" s="17">
        <f t="shared" si="0"/>
        <v>7711.9627591814515</v>
      </c>
      <c r="L21" s="9" t="s">
        <v>32</v>
      </c>
      <c r="M21" s="56">
        <v>0.5</v>
      </c>
      <c r="N21" s="56">
        <v>787</v>
      </c>
      <c r="O21" s="57"/>
      <c r="P21" s="58"/>
      <c r="Z21" s="2"/>
      <c r="AA21" s="2"/>
      <c r="AB21" s="2"/>
    </row>
    <row r="22" spans="1:28" ht="17.25" thickBot="1" x14ac:dyDescent="0.35">
      <c r="A22" s="85">
        <v>44559</v>
      </c>
      <c r="B22" s="13">
        <v>44585</v>
      </c>
      <c r="C22" s="16" t="s">
        <v>18</v>
      </c>
      <c r="D22" s="16" t="s">
        <v>22</v>
      </c>
      <c r="E22" s="16">
        <v>50</v>
      </c>
      <c r="F22" s="16">
        <v>16</v>
      </c>
      <c r="G22" s="16">
        <v>288</v>
      </c>
      <c r="H22" s="16">
        <v>1292062</v>
      </c>
      <c r="I22" s="16">
        <f t="shared" si="1"/>
        <v>-0.56570024944497321</v>
      </c>
      <c r="J22" s="17">
        <f t="shared" si="0"/>
        <v>9997.7242852273139</v>
      </c>
      <c r="L22" s="11" t="s">
        <v>32</v>
      </c>
      <c r="M22" s="65">
        <v>0.5</v>
      </c>
      <c r="N22" s="65">
        <v>821</v>
      </c>
      <c r="O22" s="59"/>
      <c r="P22" s="60"/>
      <c r="Z22" s="2"/>
      <c r="AA22" s="2"/>
      <c r="AB22" s="2"/>
    </row>
    <row r="23" spans="1:28" x14ac:dyDescent="0.3">
      <c r="A23" s="86">
        <v>44559</v>
      </c>
      <c r="B23" s="28">
        <v>44585</v>
      </c>
      <c r="C23" s="29" t="s">
        <v>18</v>
      </c>
      <c r="D23" s="29" t="s">
        <v>23</v>
      </c>
      <c r="E23" s="29">
        <v>10</v>
      </c>
      <c r="F23" s="29">
        <v>17</v>
      </c>
      <c r="G23" s="29">
        <v>894</v>
      </c>
      <c r="H23" s="29">
        <v>203475</v>
      </c>
      <c r="I23" s="29">
        <f t="shared" si="1"/>
        <v>0.51713641236149632</v>
      </c>
      <c r="J23" s="30">
        <f t="shared" si="0"/>
        <v>1178.5825681001681</v>
      </c>
      <c r="N23" s="2"/>
      <c r="O23" s="2"/>
      <c r="P23" s="2"/>
      <c r="Z23" s="2"/>
      <c r="AA23" s="2"/>
      <c r="AB23" s="2"/>
    </row>
    <row r="24" spans="1:28" ht="17.25" thickBot="1" x14ac:dyDescent="0.35">
      <c r="A24" s="87">
        <v>44559</v>
      </c>
      <c r="B24" s="31">
        <v>44585</v>
      </c>
      <c r="C24" s="32" t="s">
        <v>18</v>
      </c>
      <c r="D24" s="32" t="s">
        <v>23</v>
      </c>
      <c r="E24" s="32">
        <v>20</v>
      </c>
      <c r="F24" s="32">
        <v>18</v>
      </c>
      <c r="G24" s="32">
        <v>344</v>
      </c>
      <c r="H24" s="32">
        <v>755007</v>
      </c>
      <c r="I24" s="32">
        <f t="shared" si="1"/>
        <v>-0.46563613548265925</v>
      </c>
      <c r="J24" s="33">
        <f t="shared" si="0"/>
        <v>5646.7958294477394</v>
      </c>
      <c r="L24" s="47" t="s">
        <v>33</v>
      </c>
      <c r="N24" s="66"/>
      <c r="O24" s="66"/>
      <c r="P24" s="2"/>
      <c r="Z24" s="2"/>
      <c r="AA24" s="2"/>
      <c r="AB24" s="2"/>
    </row>
    <row r="25" spans="1:28" ht="17.25" thickBot="1" x14ac:dyDescent="0.35">
      <c r="A25" s="87">
        <v>44559</v>
      </c>
      <c r="B25" s="31">
        <v>44585</v>
      </c>
      <c r="C25" s="32" t="s">
        <v>18</v>
      </c>
      <c r="D25" s="32" t="s">
        <v>23</v>
      </c>
      <c r="E25" s="32">
        <v>35</v>
      </c>
      <c r="F25" s="32">
        <v>19</v>
      </c>
      <c r="G25" s="32">
        <v>307</v>
      </c>
      <c r="H25" s="32">
        <v>1117176</v>
      </c>
      <c r="I25" s="32">
        <f t="shared" si="1"/>
        <v>-0.53174992506490237</v>
      </c>
      <c r="J25" s="33">
        <f t="shared" si="0"/>
        <v>8580.8927243676881</v>
      </c>
      <c r="L25" s="48" t="s">
        <v>13</v>
      </c>
      <c r="M25" s="49" t="s">
        <v>14</v>
      </c>
      <c r="N25" s="49" t="s">
        <v>0</v>
      </c>
      <c r="O25" s="50" t="s">
        <v>26</v>
      </c>
      <c r="P25" s="51" t="s">
        <v>27</v>
      </c>
      <c r="Z25" s="2"/>
      <c r="AA25" s="2"/>
      <c r="AB25" s="2"/>
    </row>
    <row r="26" spans="1:28" ht="17.25" thickBot="1" x14ac:dyDescent="0.35">
      <c r="A26" s="89">
        <v>44559</v>
      </c>
      <c r="B26" s="38">
        <v>44585</v>
      </c>
      <c r="C26" s="39" t="s">
        <v>18</v>
      </c>
      <c r="D26" s="39" t="s">
        <v>23</v>
      </c>
      <c r="E26" s="39">
        <v>50</v>
      </c>
      <c r="F26" s="39">
        <v>20</v>
      </c>
      <c r="G26" s="40">
        <v>390</v>
      </c>
      <c r="H26" s="40">
        <v>982455</v>
      </c>
      <c r="I26" s="39">
        <f t="shared" si="1"/>
        <v>-0.38344061329932988</v>
      </c>
      <c r="J26" s="41">
        <f t="shared" si="0"/>
        <v>7489.4562188122418</v>
      </c>
      <c r="L26" s="122" t="s">
        <v>28</v>
      </c>
      <c r="M26" s="52">
        <v>1375</v>
      </c>
      <c r="N26" s="52">
        <v>221843</v>
      </c>
      <c r="O26" s="67">
        <f>AVERAGE(M26:M28)</f>
        <v>1375</v>
      </c>
      <c r="P26" s="68">
        <f>AVERAGE(N27:N28)</f>
        <v>270767.5</v>
      </c>
      <c r="Q26" t="s">
        <v>47</v>
      </c>
      <c r="Z26" s="2"/>
      <c r="AA26" s="2"/>
      <c r="AB26" s="2"/>
    </row>
    <row r="27" spans="1:28" x14ac:dyDescent="0.3">
      <c r="A27" s="77">
        <v>44559</v>
      </c>
      <c r="B27" s="27">
        <v>44585</v>
      </c>
      <c r="C27" s="22" t="s">
        <v>24</v>
      </c>
      <c r="D27" s="20" t="s">
        <v>19</v>
      </c>
      <c r="E27" s="20">
        <v>10</v>
      </c>
      <c r="F27" s="20">
        <v>21</v>
      </c>
      <c r="G27" s="22">
        <v>479</v>
      </c>
      <c r="H27" s="22">
        <v>660795</v>
      </c>
      <c r="I27" s="20">
        <f t="shared" si="1"/>
        <v>-0.22441014646636648</v>
      </c>
      <c r="J27" s="21">
        <f t="shared" si="0"/>
        <v>4883.5412807033745</v>
      </c>
      <c r="L27" s="123" t="s">
        <v>28</v>
      </c>
      <c r="M27" s="69">
        <v>1375</v>
      </c>
      <c r="N27" s="69">
        <v>277166</v>
      </c>
      <c r="O27" s="70"/>
      <c r="P27" s="71"/>
      <c r="Z27" s="2"/>
      <c r="AA27" s="2"/>
      <c r="AB27" s="2"/>
    </row>
    <row r="28" spans="1:28" ht="17.25" thickBot="1" x14ac:dyDescent="0.35">
      <c r="A28" s="85">
        <v>44559</v>
      </c>
      <c r="B28" s="14">
        <v>44585</v>
      </c>
      <c r="C28" s="18" t="s">
        <v>24</v>
      </c>
      <c r="D28" s="16" t="s">
        <v>19</v>
      </c>
      <c r="E28" s="16">
        <v>20</v>
      </c>
      <c r="F28" s="16">
        <v>22</v>
      </c>
      <c r="G28" s="18">
        <v>242</v>
      </c>
      <c r="H28" s="18">
        <v>1015474</v>
      </c>
      <c r="I28" s="16">
        <f t="shared" si="1"/>
        <v>-0.64789577162830259</v>
      </c>
      <c r="J28" s="17">
        <f t="shared" si="0"/>
        <v>7756.9582561852967</v>
      </c>
      <c r="L28" s="128" t="s">
        <v>28</v>
      </c>
      <c r="M28" s="72">
        <v>1375</v>
      </c>
      <c r="N28" s="72">
        <v>264369</v>
      </c>
      <c r="O28" s="73"/>
      <c r="P28" s="74"/>
      <c r="Z28" s="2"/>
      <c r="AA28" s="2"/>
      <c r="AB28" s="2"/>
    </row>
    <row r="29" spans="1:28" x14ac:dyDescent="0.3">
      <c r="A29" s="85">
        <v>44559</v>
      </c>
      <c r="B29" s="14">
        <v>44585</v>
      </c>
      <c r="C29" s="18" t="s">
        <v>24</v>
      </c>
      <c r="D29" s="16" t="s">
        <v>19</v>
      </c>
      <c r="E29" s="16">
        <v>35</v>
      </c>
      <c r="F29" s="16">
        <v>23</v>
      </c>
      <c r="G29" s="18">
        <v>483</v>
      </c>
      <c r="H29" s="18">
        <v>952884</v>
      </c>
      <c r="I29" s="16">
        <f t="shared" si="1"/>
        <v>-0.21726270975477258</v>
      </c>
      <c r="J29" s="17">
        <f t="shared" si="0"/>
        <v>7249.8880081711377</v>
      </c>
      <c r="L29" s="64" t="s">
        <v>29</v>
      </c>
      <c r="M29" s="52">
        <v>916.7</v>
      </c>
      <c r="N29" s="52">
        <v>140202</v>
      </c>
      <c r="O29" s="67">
        <f>AVERAGE(M29:M31)</f>
        <v>916.70000000000016</v>
      </c>
      <c r="P29" s="68">
        <f>AVERAGE(N29:N31)</f>
        <v>179815.66666666666</v>
      </c>
      <c r="Z29" s="3" t="s">
        <v>15</v>
      </c>
      <c r="AA29" s="2">
        <f>SLOPE(O26:O43,P26:P43)</f>
        <v>8.1014578688953162E-3</v>
      </c>
      <c r="AB29" s="2"/>
    </row>
    <row r="30" spans="1:28" ht="17.25" thickBot="1" x14ac:dyDescent="0.35">
      <c r="A30" s="88">
        <v>44559</v>
      </c>
      <c r="B30" s="42">
        <v>44585</v>
      </c>
      <c r="C30" s="43" t="s">
        <v>24</v>
      </c>
      <c r="D30" s="35" t="s">
        <v>19</v>
      </c>
      <c r="E30" s="35">
        <v>50</v>
      </c>
      <c r="F30" s="35">
        <v>24</v>
      </c>
      <c r="G30" s="43">
        <v>331</v>
      </c>
      <c r="H30" s="43">
        <v>1805356</v>
      </c>
      <c r="I30" s="35">
        <f t="shared" si="1"/>
        <v>-0.48886530479533929</v>
      </c>
      <c r="J30" s="36">
        <f t="shared" si="0"/>
        <v>14156.154000584065</v>
      </c>
      <c r="L30" s="9" t="s">
        <v>29</v>
      </c>
      <c r="M30" s="69">
        <v>916.7</v>
      </c>
      <c r="N30" s="69">
        <v>204346</v>
      </c>
      <c r="O30" s="70"/>
      <c r="P30" s="71"/>
      <c r="Z30" s="3" t="s">
        <v>16</v>
      </c>
      <c r="AA30" s="2">
        <f>INTERCEPT(O26:O43,P26:P43)</f>
        <v>-469.86157177330642</v>
      </c>
      <c r="AB30" s="2"/>
    </row>
    <row r="31" spans="1:28" ht="17.25" thickBot="1" x14ac:dyDescent="0.35">
      <c r="A31" s="77">
        <v>44559</v>
      </c>
      <c r="B31" s="19">
        <v>44585</v>
      </c>
      <c r="C31" s="22" t="s">
        <v>24</v>
      </c>
      <c r="D31" s="20" t="s">
        <v>20</v>
      </c>
      <c r="E31" s="20">
        <v>10</v>
      </c>
      <c r="F31" s="20">
        <v>25</v>
      </c>
      <c r="G31" s="20">
        <v>380</v>
      </c>
      <c r="H31" s="20">
        <v>945861</v>
      </c>
      <c r="I31" s="20">
        <f t="shared" si="1"/>
        <v>-0.40130920507831447</v>
      </c>
      <c r="J31" s="21">
        <f t="shared" si="0"/>
        <v>7192.9914695578864</v>
      </c>
      <c r="L31" s="11" t="s">
        <v>29</v>
      </c>
      <c r="M31" s="72">
        <v>916.7</v>
      </c>
      <c r="N31" s="72">
        <v>194899</v>
      </c>
      <c r="O31" s="73"/>
      <c r="P31" s="74"/>
      <c r="Z31" s="2" t="s">
        <v>17</v>
      </c>
      <c r="AA31" s="2">
        <f>RSQ(O26:O43,P26:P43)</f>
        <v>0.996116875858721</v>
      </c>
    </row>
    <row r="32" spans="1:28" x14ac:dyDescent="0.3">
      <c r="A32" s="85">
        <v>44559</v>
      </c>
      <c r="B32" s="13">
        <v>44585</v>
      </c>
      <c r="C32" s="18" t="s">
        <v>24</v>
      </c>
      <c r="D32" s="16" t="s">
        <v>20</v>
      </c>
      <c r="E32" s="16">
        <v>20</v>
      </c>
      <c r="F32" s="16">
        <v>26</v>
      </c>
      <c r="G32" s="16">
        <v>271</v>
      </c>
      <c r="H32" s="16">
        <v>1068928</v>
      </c>
      <c r="I32" s="16">
        <f t="shared" si="1"/>
        <v>-0.59607685546924705</v>
      </c>
      <c r="J32" s="17">
        <f t="shared" si="0"/>
        <v>8190.0135851092255</v>
      </c>
      <c r="L32" s="64" t="s">
        <v>30</v>
      </c>
      <c r="M32" s="52">
        <v>550</v>
      </c>
      <c r="N32" s="52">
        <v>97604</v>
      </c>
      <c r="O32" s="67">
        <f>AVERAGE(M32:M34)</f>
        <v>550</v>
      </c>
      <c r="P32" s="68">
        <f>AVERAGE(N32:N34)</f>
        <v>128487.33333333333</v>
      </c>
      <c r="Z32" s="2"/>
      <c r="AA32" s="2"/>
    </row>
    <row r="33" spans="1:27" x14ac:dyDescent="0.3">
      <c r="A33" s="85">
        <v>44559</v>
      </c>
      <c r="B33" s="13">
        <v>44585</v>
      </c>
      <c r="C33" s="18" t="s">
        <v>24</v>
      </c>
      <c r="D33" s="16" t="s">
        <v>20</v>
      </c>
      <c r="E33" s="16">
        <v>35</v>
      </c>
      <c r="F33" s="16">
        <v>27</v>
      </c>
      <c r="G33" s="16">
        <v>235</v>
      </c>
      <c r="H33" s="16">
        <v>1350315</v>
      </c>
      <c r="I33" s="16">
        <f t="shared" si="1"/>
        <v>-0.66040378587359183</v>
      </c>
      <c r="J33" s="17">
        <f t="shared" si="0"/>
        <v>10469.658510464073</v>
      </c>
      <c r="L33" s="9" t="s">
        <v>30</v>
      </c>
      <c r="M33" s="69">
        <v>550</v>
      </c>
      <c r="N33" s="69">
        <v>149426</v>
      </c>
      <c r="O33" s="70"/>
      <c r="P33" s="71"/>
      <c r="Z33" s="2"/>
      <c r="AA33" s="2"/>
    </row>
    <row r="34" spans="1:27" ht="17.25" thickBot="1" x14ac:dyDescent="0.35">
      <c r="A34" s="85">
        <v>44559</v>
      </c>
      <c r="B34" s="13">
        <v>44585</v>
      </c>
      <c r="C34" s="18" t="s">
        <v>24</v>
      </c>
      <c r="D34" s="16" t="s">
        <v>20</v>
      </c>
      <c r="E34" s="16">
        <v>50</v>
      </c>
      <c r="F34" s="16">
        <v>28</v>
      </c>
      <c r="G34" s="16">
        <v>267</v>
      </c>
      <c r="H34" s="16">
        <v>1341683</v>
      </c>
      <c r="I34" s="16">
        <f t="shared" si="1"/>
        <v>-0.60322429218084106</v>
      </c>
      <c r="J34" s="17">
        <f t="shared" si="0"/>
        <v>10399.726726139768</v>
      </c>
      <c r="L34" s="11" t="s">
        <v>30</v>
      </c>
      <c r="M34" s="72">
        <v>550</v>
      </c>
      <c r="N34" s="72">
        <v>138432</v>
      </c>
      <c r="O34" s="73"/>
      <c r="P34" s="74"/>
      <c r="Z34" s="2"/>
      <c r="AA34" s="2"/>
    </row>
    <row r="35" spans="1:27" x14ac:dyDescent="0.3">
      <c r="A35" s="86">
        <v>44559</v>
      </c>
      <c r="B35" s="28">
        <v>44585</v>
      </c>
      <c r="C35" s="44" t="s">
        <v>24</v>
      </c>
      <c r="D35" s="29" t="s">
        <v>21</v>
      </c>
      <c r="E35" s="29">
        <v>10</v>
      </c>
      <c r="F35" s="29">
        <v>29</v>
      </c>
      <c r="G35" s="29">
        <v>710</v>
      </c>
      <c r="H35" s="29">
        <v>490582</v>
      </c>
      <c r="I35" s="29">
        <f t="shared" si="1"/>
        <v>0.18835432362817883</v>
      </c>
      <c r="J35" s="30">
        <f t="shared" si="0"/>
        <v>3504.5678324650958</v>
      </c>
      <c r="L35" s="64" t="s">
        <v>31</v>
      </c>
      <c r="M35" s="52">
        <v>275</v>
      </c>
      <c r="N35" s="52">
        <v>59983</v>
      </c>
      <c r="O35" s="67">
        <f>AVERAGE(M35:M37)</f>
        <v>275</v>
      </c>
      <c r="P35" s="68">
        <f>AVERAGE(N35:N37)</f>
        <v>86781.666666666672</v>
      </c>
      <c r="Z35" s="2"/>
      <c r="AA35" s="2"/>
    </row>
    <row r="36" spans="1:27" x14ac:dyDescent="0.3">
      <c r="A36" s="87">
        <v>44559</v>
      </c>
      <c r="B36" s="31">
        <v>44585</v>
      </c>
      <c r="C36" s="37" t="s">
        <v>24</v>
      </c>
      <c r="D36" s="32" t="s">
        <v>21</v>
      </c>
      <c r="E36" s="32">
        <v>20</v>
      </c>
      <c r="F36" s="32">
        <v>30</v>
      </c>
      <c r="G36" s="32">
        <v>413</v>
      </c>
      <c r="H36" s="32">
        <v>810857</v>
      </c>
      <c r="I36" s="32">
        <f t="shared" si="1"/>
        <v>-0.34234285220766514</v>
      </c>
      <c r="J36" s="33">
        <f t="shared" si="0"/>
        <v>6099.2622514255427</v>
      </c>
      <c r="L36" s="9" t="s">
        <v>31</v>
      </c>
      <c r="M36" s="69">
        <v>275</v>
      </c>
      <c r="N36" s="69">
        <v>104959</v>
      </c>
      <c r="O36" s="70"/>
      <c r="P36" s="71"/>
    </row>
    <row r="37" spans="1:27" ht="17.25" thickBot="1" x14ac:dyDescent="0.35">
      <c r="A37" s="87">
        <v>44559</v>
      </c>
      <c r="B37" s="31">
        <v>44585</v>
      </c>
      <c r="C37" s="37" t="s">
        <v>24</v>
      </c>
      <c r="D37" s="32" t="s">
        <v>21</v>
      </c>
      <c r="E37" s="32">
        <v>35</v>
      </c>
      <c r="F37" s="32">
        <v>31</v>
      </c>
      <c r="G37" s="32">
        <v>504</v>
      </c>
      <c r="H37" s="32">
        <v>773731</v>
      </c>
      <c r="I37" s="32">
        <f t="shared" si="1"/>
        <v>-0.17973866701890484</v>
      </c>
      <c r="J37" s="33">
        <f t="shared" si="0"/>
        <v>5798.487526584935</v>
      </c>
      <c r="L37" s="11" t="s">
        <v>31</v>
      </c>
      <c r="M37" s="72">
        <v>275</v>
      </c>
      <c r="N37" s="72">
        <v>95403</v>
      </c>
      <c r="O37" s="73"/>
      <c r="P37" s="74"/>
    </row>
    <row r="38" spans="1:27" ht="17.25" thickBot="1" x14ac:dyDescent="0.35">
      <c r="A38" s="89">
        <v>44559</v>
      </c>
      <c r="B38" s="45">
        <v>44585</v>
      </c>
      <c r="C38" s="40" t="s">
        <v>24</v>
      </c>
      <c r="D38" s="39" t="s">
        <v>21</v>
      </c>
      <c r="E38" s="39">
        <v>50</v>
      </c>
      <c r="F38" s="39">
        <v>32</v>
      </c>
      <c r="G38" s="39">
        <v>395</v>
      </c>
      <c r="H38" s="39">
        <v>1540103</v>
      </c>
      <c r="I38" s="39">
        <f t="shared" si="1"/>
        <v>-0.37450631740983753</v>
      </c>
      <c r="J38" s="41">
        <f t="shared" si="0"/>
        <v>12007.217996485977</v>
      </c>
      <c r="L38" s="64" t="s">
        <v>32</v>
      </c>
      <c r="M38" s="52">
        <v>91.7</v>
      </c>
      <c r="N38" s="52">
        <v>26844</v>
      </c>
      <c r="O38" s="67">
        <f>AVERAGE(M38:M40)</f>
        <v>91.7</v>
      </c>
      <c r="P38" s="68">
        <f>AVERAGE(N38:N40)</f>
        <v>49235.666666666664</v>
      </c>
    </row>
    <row r="39" spans="1:27" x14ac:dyDescent="0.3">
      <c r="A39" s="77">
        <v>44559</v>
      </c>
      <c r="B39" s="19">
        <v>44585</v>
      </c>
      <c r="C39" s="22" t="s">
        <v>24</v>
      </c>
      <c r="D39" s="20" t="s">
        <v>22</v>
      </c>
      <c r="E39" s="20">
        <v>10</v>
      </c>
      <c r="F39" s="20">
        <v>33</v>
      </c>
      <c r="G39" s="20">
        <v>814</v>
      </c>
      <c r="H39" s="20">
        <v>591632</v>
      </c>
      <c r="I39" s="20">
        <f t="shared" si="1"/>
        <v>0.37418767812961917</v>
      </c>
      <c r="J39" s="21">
        <f t="shared" ref="J39:J66" si="2">(H39*$AA$29)+$AA$30</f>
        <v>4323.2201501169675</v>
      </c>
      <c r="L39" s="9" t="s">
        <v>32</v>
      </c>
      <c r="M39" s="69">
        <v>91.7</v>
      </c>
      <c r="N39" s="69">
        <v>65954</v>
      </c>
      <c r="O39" s="70"/>
      <c r="P39" s="71"/>
    </row>
    <row r="40" spans="1:27" ht="17.25" thickBot="1" x14ac:dyDescent="0.35">
      <c r="A40" s="85">
        <v>44559</v>
      </c>
      <c r="B40" s="13">
        <v>44585</v>
      </c>
      <c r="C40" s="18" t="s">
        <v>24</v>
      </c>
      <c r="D40" s="16" t="s">
        <v>22</v>
      </c>
      <c r="E40" s="16">
        <v>20</v>
      </c>
      <c r="F40" s="16">
        <v>34</v>
      </c>
      <c r="G40" s="16">
        <v>426</v>
      </c>
      <c r="H40" s="16">
        <v>914505</v>
      </c>
      <c r="I40" s="16">
        <f t="shared" si="1"/>
        <v>-0.3191136828949851</v>
      </c>
      <c r="J40" s="17">
        <f t="shared" si="2"/>
        <v>6938.9621566208043</v>
      </c>
      <c r="L40" s="11" t="s">
        <v>32</v>
      </c>
      <c r="M40" s="72">
        <v>91.7</v>
      </c>
      <c r="N40" s="72">
        <v>54909</v>
      </c>
      <c r="O40" s="72"/>
      <c r="P40" s="129"/>
    </row>
    <row r="41" spans="1:27" ht="17.25" thickBot="1" x14ac:dyDescent="0.35">
      <c r="A41" s="85">
        <v>44559</v>
      </c>
      <c r="B41" s="13">
        <v>44585</v>
      </c>
      <c r="C41" s="18" t="s">
        <v>24</v>
      </c>
      <c r="D41" s="16" t="s">
        <v>22</v>
      </c>
      <c r="E41" s="16">
        <v>35</v>
      </c>
      <c r="F41" s="16">
        <v>35</v>
      </c>
      <c r="G41" s="16">
        <v>470</v>
      </c>
      <c r="H41" s="16">
        <v>870341</v>
      </c>
      <c r="I41" s="16">
        <f t="shared" si="1"/>
        <v>-0.24049187906745262</v>
      </c>
      <c r="J41" s="17">
        <f t="shared" si="2"/>
        <v>6581.1693712989118</v>
      </c>
      <c r="L41" s="82" t="s">
        <v>36</v>
      </c>
      <c r="M41" s="83">
        <v>2500</v>
      </c>
      <c r="N41" s="84">
        <v>325587</v>
      </c>
      <c r="O41" s="84">
        <f>AVERAGE(M41:M41)</f>
        <v>2500</v>
      </c>
      <c r="P41" s="130">
        <f>AVERAGE(N41)</f>
        <v>325587</v>
      </c>
    </row>
    <row r="42" spans="1:27" ht="17.25" thickBot="1" x14ac:dyDescent="0.35">
      <c r="A42" s="88">
        <v>44559</v>
      </c>
      <c r="B42" s="34">
        <v>44585</v>
      </c>
      <c r="C42" s="43" t="s">
        <v>24</v>
      </c>
      <c r="D42" s="35" t="s">
        <v>22</v>
      </c>
      <c r="E42" s="35">
        <v>50</v>
      </c>
      <c r="F42" s="35">
        <v>36</v>
      </c>
      <c r="G42" s="35">
        <v>448</v>
      </c>
      <c r="H42" s="35">
        <v>1115631</v>
      </c>
      <c r="I42" s="35">
        <f t="shared" si="1"/>
        <v>-0.27980278098121891</v>
      </c>
      <c r="J42" s="36">
        <f t="shared" si="2"/>
        <v>8568.375971960244</v>
      </c>
      <c r="L42" s="82" t="s">
        <v>46</v>
      </c>
      <c r="M42" s="83">
        <v>5000</v>
      </c>
      <c r="N42" s="84">
        <v>699319</v>
      </c>
      <c r="O42" s="84">
        <f>AVERAGE(M42:M42)</f>
        <v>5000</v>
      </c>
      <c r="P42" s="130">
        <f t="shared" ref="P42:P43" si="3">AVERAGE(N42)</f>
        <v>699319</v>
      </c>
    </row>
    <row r="43" spans="1:27" ht="17.25" thickBot="1" x14ac:dyDescent="0.35">
      <c r="A43" s="77">
        <v>44559</v>
      </c>
      <c r="B43" s="19">
        <v>44585</v>
      </c>
      <c r="C43" s="22" t="s">
        <v>24</v>
      </c>
      <c r="D43" s="20" t="s">
        <v>23</v>
      </c>
      <c r="E43" s="20">
        <v>10</v>
      </c>
      <c r="F43" s="20">
        <v>37</v>
      </c>
      <c r="G43" s="20">
        <v>739</v>
      </c>
      <c r="H43" s="20">
        <v>429011</v>
      </c>
      <c r="I43" s="20">
        <f t="shared" si="1"/>
        <v>0.24017323978723426</v>
      </c>
      <c r="J43" s="21">
        <f t="shared" si="2"/>
        <v>3005.7529700193422</v>
      </c>
      <c r="L43" s="131" t="s">
        <v>34</v>
      </c>
      <c r="M43" s="132">
        <v>10000</v>
      </c>
      <c r="N43" s="133">
        <v>1280116</v>
      </c>
      <c r="O43" s="133">
        <f>M43</f>
        <v>10000</v>
      </c>
      <c r="P43" s="134">
        <f t="shared" si="3"/>
        <v>1280116</v>
      </c>
    </row>
    <row r="44" spans="1:27" x14ac:dyDescent="0.3">
      <c r="A44" s="85">
        <v>44559</v>
      </c>
      <c r="B44" s="13">
        <v>44585</v>
      </c>
      <c r="C44" s="18" t="s">
        <v>24</v>
      </c>
      <c r="D44" s="16" t="s">
        <v>23</v>
      </c>
      <c r="E44" s="16">
        <v>20</v>
      </c>
      <c r="F44" s="16">
        <v>38</v>
      </c>
      <c r="G44" s="16">
        <v>413</v>
      </c>
      <c r="H44" s="16">
        <v>615129</v>
      </c>
      <c r="I44" s="16">
        <f t="shared" si="1"/>
        <v>-0.34234285220766514</v>
      </c>
      <c r="J44" s="17">
        <f t="shared" si="2"/>
        <v>4513.5801056624005</v>
      </c>
    </row>
    <row r="45" spans="1:27" x14ac:dyDescent="0.3">
      <c r="A45" s="85">
        <v>44559</v>
      </c>
      <c r="B45" s="13">
        <v>44585</v>
      </c>
      <c r="C45" s="18" t="s">
        <v>24</v>
      </c>
      <c r="D45" s="16" t="s">
        <v>23</v>
      </c>
      <c r="E45" s="16">
        <v>35</v>
      </c>
      <c r="F45" s="16">
        <v>39</v>
      </c>
      <c r="G45" s="16">
        <v>548</v>
      </c>
      <c r="H45" s="16">
        <v>742424</v>
      </c>
      <c r="I45" s="16">
        <f t="shared" si="1"/>
        <v>-0.10111686319137247</v>
      </c>
      <c r="J45" s="17">
        <f t="shared" si="2"/>
        <v>5544.8551850834301</v>
      </c>
      <c r="L45" s="79"/>
      <c r="M45" s="80"/>
      <c r="N45" s="81"/>
      <c r="O45" s="81"/>
      <c r="P45" s="81"/>
    </row>
    <row r="46" spans="1:27" ht="17.25" thickBot="1" x14ac:dyDescent="0.35">
      <c r="A46" s="85">
        <v>44559</v>
      </c>
      <c r="B46" s="13">
        <v>44585</v>
      </c>
      <c r="C46" s="18" t="s">
        <v>24</v>
      </c>
      <c r="D46" s="16" t="s">
        <v>23</v>
      </c>
      <c r="E46" s="16">
        <v>50</v>
      </c>
      <c r="F46" s="16">
        <v>40</v>
      </c>
      <c r="G46" s="16">
        <v>212</v>
      </c>
      <c r="H46" s="16">
        <v>1402370</v>
      </c>
      <c r="I46" s="16">
        <f t="shared" si="1"/>
        <v>-0.70150154696525657</v>
      </c>
      <c r="J46" s="17">
        <f t="shared" si="2"/>
        <v>10891.379899829419</v>
      </c>
    </row>
    <row r="47" spans="1:27" x14ac:dyDescent="0.3">
      <c r="A47" s="86">
        <v>44559</v>
      </c>
      <c r="B47" s="28">
        <v>44585</v>
      </c>
      <c r="C47" s="29" t="s">
        <v>25</v>
      </c>
      <c r="D47" s="29" t="s">
        <v>19</v>
      </c>
      <c r="E47" s="29">
        <v>10</v>
      </c>
      <c r="F47" s="29">
        <v>41</v>
      </c>
      <c r="G47" s="29">
        <v>803</v>
      </c>
      <c r="H47" s="29">
        <v>288328</v>
      </c>
      <c r="I47" s="29">
        <f t="shared" si="1"/>
        <v>0.35453222717273603</v>
      </c>
      <c r="J47" s="30">
        <f t="shared" si="2"/>
        <v>1866.0155726495423</v>
      </c>
    </row>
    <row r="48" spans="1:27" x14ac:dyDescent="0.3">
      <c r="A48" s="87">
        <v>44559</v>
      </c>
      <c r="B48" s="31">
        <v>44585</v>
      </c>
      <c r="C48" s="32" t="s">
        <v>25</v>
      </c>
      <c r="D48" s="32" t="s">
        <v>19</v>
      </c>
      <c r="E48" s="32">
        <v>20</v>
      </c>
      <c r="F48" s="32">
        <v>42</v>
      </c>
      <c r="G48" s="32">
        <v>205</v>
      </c>
      <c r="H48" s="32">
        <v>1183625</v>
      </c>
      <c r="I48" s="32">
        <f t="shared" si="1"/>
        <v>-0.71400956121054582</v>
      </c>
      <c r="J48" s="33">
        <f t="shared" si="2"/>
        <v>9119.2264982979123</v>
      </c>
    </row>
    <row r="49" spans="1:17" x14ac:dyDescent="0.3">
      <c r="A49" s="87">
        <v>44559</v>
      </c>
      <c r="B49" s="31">
        <v>44585</v>
      </c>
      <c r="C49" s="32" t="s">
        <v>25</v>
      </c>
      <c r="D49" s="32" t="s">
        <v>19</v>
      </c>
      <c r="E49" s="32">
        <v>35</v>
      </c>
      <c r="F49" s="32">
        <v>43</v>
      </c>
      <c r="G49" s="32">
        <v>323</v>
      </c>
      <c r="H49" s="32">
        <v>1065513</v>
      </c>
      <c r="I49" s="32">
        <f t="shared" si="1"/>
        <v>-0.50316017821852699</v>
      </c>
      <c r="J49" s="33">
        <f t="shared" si="2"/>
        <v>8162.3471064869482</v>
      </c>
    </row>
    <row r="50" spans="1:17" ht="17.25" thickBot="1" x14ac:dyDescent="0.35">
      <c r="A50" s="87">
        <v>44559</v>
      </c>
      <c r="B50" s="31">
        <v>44585</v>
      </c>
      <c r="C50" s="32" t="s">
        <v>25</v>
      </c>
      <c r="D50" s="32" t="s">
        <v>19</v>
      </c>
      <c r="E50" s="32">
        <v>50</v>
      </c>
      <c r="F50" s="32">
        <v>44</v>
      </c>
      <c r="G50" s="32">
        <v>207</v>
      </c>
      <c r="H50" s="32">
        <v>1438598</v>
      </c>
      <c r="I50" s="32">
        <f t="shared" si="1"/>
        <v>-0.71043584285474881</v>
      </c>
      <c r="J50" s="33">
        <f t="shared" si="2"/>
        <v>11184.879515503757</v>
      </c>
    </row>
    <row r="51" spans="1:17" x14ac:dyDescent="0.3">
      <c r="A51" s="77">
        <v>44559</v>
      </c>
      <c r="B51" s="19">
        <v>44585</v>
      </c>
      <c r="C51" s="20" t="s">
        <v>25</v>
      </c>
      <c r="D51" s="20" t="s">
        <v>20</v>
      </c>
      <c r="E51" s="20">
        <v>10</v>
      </c>
      <c r="F51" s="20">
        <v>45</v>
      </c>
      <c r="G51" s="20">
        <v>675</v>
      </c>
      <c r="H51" s="20">
        <v>913429</v>
      </c>
      <c r="I51" s="20">
        <f t="shared" si="1"/>
        <v>0.1258142524017325</v>
      </c>
      <c r="J51" s="21">
        <f t="shared" si="2"/>
        <v>6930.2449879538735</v>
      </c>
    </row>
    <row r="52" spans="1:17" x14ac:dyDescent="0.3">
      <c r="A52" s="85">
        <v>44559</v>
      </c>
      <c r="B52" s="13">
        <v>44585</v>
      </c>
      <c r="C52" s="16" t="s">
        <v>25</v>
      </c>
      <c r="D52" s="16" t="s">
        <v>20</v>
      </c>
      <c r="E52" s="16">
        <v>20</v>
      </c>
      <c r="F52" s="16">
        <v>46</v>
      </c>
      <c r="G52" s="16">
        <v>265</v>
      </c>
      <c r="H52" s="16">
        <v>1498851</v>
      </c>
      <c r="I52" s="16">
        <f t="shared" si="1"/>
        <v>-0.60679801053663796</v>
      </c>
      <c r="J52" s="17">
        <f t="shared" si="2"/>
        <v>11673.016656478307</v>
      </c>
    </row>
    <row r="53" spans="1:17" x14ac:dyDescent="0.3">
      <c r="A53" s="85">
        <v>44559</v>
      </c>
      <c r="B53" s="13">
        <v>44585</v>
      </c>
      <c r="C53" s="16" t="s">
        <v>25</v>
      </c>
      <c r="D53" s="16" t="s">
        <v>20</v>
      </c>
      <c r="E53" s="16">
        <v>35</v>
      </c>
      <c r="F53" s="16">
        <v>47</v>
      </c>
      <c r="G53" s="16">
        <v>435</v>
      </c>
      <c r="H53" s="16">
        <v>1361338</v>
      </c>
      <c r="I53" s="16">
        <f t="shared" si="1"/>
        <v>-0.30303195029389896</v>
      </c>
      <c r="J53" s="17">
        <f t="shared" si="2"/>
        <v>10558.960880552906</v>
      </c>
    </row>
    <row r="54" spans="1:17" ht="17.25" thickBot="1" x14ac:dyDescent="0.35">
      <c r="A54" s="88">
        <v>44559</v>
      </c>
      <c r="B54" s="34">
        <v>44585</v>
      </c>
      <c r="C54" s="35" t="s">
        <v>25</v>
      </c>
      <c r="D54" s="35" t="s">
        <v>20</v>
      </c>
      <c r="E54" s="35">
        <v>50</v>
      </c>
      <c r="F54" s="35">
        <v>48</v>
      </c>
      <c r="G54" s="35">
        <v>657</v>
      </c>
      <c r="H54" s="35">
        <v>975759</v>
      </c>
      <c r="I54" s="35">
        <f t="shared" si="1"/>
        <v>9.3650787199560215E-2</v>
      </c>
      <c r="J54" s="36">
        <f t="shared" si="2"/>
        <v>7435.2088569221187</v>
      </c>
    </row>
    <row r="55" spans="1:17" x14ac:dyDescent="0.3">
      <c r="A55" s="77">
        <v>44559</v>
      </c>
      <c r="B55" s="19">
        <v>44585</v>
      </c>
      <c r="C55" s="20" t="s">
        <v>25</v>
      </c>
      <c r="D55" s="20" t="s">
        <v>21</v>
      </c>
      <c r="E55" s="20">
        <v>10</v>
      </c>
      <c r="F55" s="20">
        <v>49</v>
      </c>
      <c r="G55" s="20">
        <v>872</v>
      </c>
      <c r="H55" s="20">
        <v>524095</v>
      </c>
      <c r="I55" s="20">
        <f t="shared" si="1"/>
        <v>0.47782551044773003</v>
      </c>
      <c r="J55" s="21">
        <f t="shared" si="2"/>
        <v>3776.0719900253844</v>
      </c>
    </row>
    <row r="56" spans="1:17" x14ac:dyDescent="0.3">
      <c r="A56" s="85">
        <v>44559</v>
      </c>
      <c r="B56" s="13">
        <v>44585</v>
      </c>
      <c r="C56" s="16" t="s">
        <v>25</v>
      </c>
      <c r="D56" s="16" t="s">
        <v>21</v>
      </c>
      <c r="E56" s="16">
        <v>20</v>
      </c>
      <c r="F56" s="16">
        <v>50</v>
      </c>
      <c r="G56" s="16">
        <v>242</v>
      </c>
      <c r="H56" s="16">
        <v>1578273</v>
      </c>
      <c r="I56" s="16">
        <f t="shared" si="1"/>
        <v>-0.64789577162830259</v>
      </c>
      <c r="J56" s="17">
        <f t="shared" si="2"/>
        <v>12316.450643341712</v>
      </c>
      <c r="N56" s="75"/>
      <c r="O56" s="75"/>
      <c r="P56" s="75"/>
      <c r="Q56" s="75"/>
    </row>
    <row r="57" spans="1:17" x14ac:dyDescent="0.3">
      <c r="A57" s="85">
        <v>44559</v>
      </c>
      <c r="B57" s="13">
        <v>44585</v>
      </c>
      <c r="C57" s="16" t="s">
        <v>25</v>
      </c>
      <c r="D57" s="16" t="s">
        <v>21</v>
      </c>
      <c r="E57" s="16">
        <v>35</v>
      </c>
      <c r="F57" s="16">
        <v>51</v>
      </c>
      <c r="G57" s="16">
        <v>884</v>
      </c>
      <c r="H57" s="16">
        <v>482447</v>
      </c>
      <c r="I57" s="16">
        <f t="shared" si="1"/>
        <v>0.49926782058251162</v>
      </c>
      <c r="J57" s="17">
        <f t="shared" si="2"/>
        <v>3438.6624727016324</v>
      </c>
      <c r="N57" s="2"/>
      <c r="O57" s="2"/>
      <c r="P57" s="2"/>
    </row>
    <row r="58" spans="1:17" ht="17.25" thickBot="1" x14ac:dyDescent="0.35">
      <c r="A58" s="88">
        <v>44559</v>
      </c>
      <c r="B58" s="34">
        <v>44585</v>
      </c>
      <c r="C58" s="35" t="s">
        <v>25</v>
      </c>
      <c r="D58" s="35" t="s">
        <v>21</v>
      </c>
      <c r="E58" s="35">
        <v>50</v>
      </c>
      <c r="F58" s="35">
        <v>52</v>
      </c>
      <c r="G58" s="35">
        <v>381</v>
      </c>
      <c r="H58" s="35">
        <v>2281868</v>
      </c>
      <c r="I58" s="35">
        <f t="shared" si="1"/>
        <v>-0.39952234590041602</v>
      </c>
      <c r="J58" s="36">
        <f t="shared" si="2"/>
        <v>18016.595892607111</v>
      </c>
      <c r="N58" s="2"/>
      <c r="O58" s="2"/>
      <c r="P58" s="2"/>
    </row>
    <row r="59" spans="1:17" x14ac:dyDescent="0.3">
      <c r="A59" s="86">
        <v>44559</v>
      </c>
      <c r="B59" s="28">
        <v>44585</v>
      </c>
      <c r="C59" s="29" t="s">
        <v>25</v>
      </c>
      <c r="D59" s="29" t="s">
        <v>22</v>
      </c>
      <c r="E59" s="29">
        <v>10</v>
      </c>
      <c r="F59" s="29">
        <v>53</v>
      </c>
      <c r="G59" s="29">
        <v>744</v>
      </c>
      <c r="H59" s="29">
        <v>351748</v>
      </c>
      <c r="I59" s="29">
        <f t="shared" si="1"/>
        <v>0.24910753567672672</v>
      </c>
      <c r="J59" s="30">
        <f t="shared" si="2"/>
        <v>2379.8100306948832</v>
      </c>
      <c r="N59" s="2"/>
      <c r="O59" s="2"/>
      <c r="P59" s="2"/>
    </row>
    <row r="60" spans="1:17" x14ac:dyDescent="0.3">
      <c r="A60" s="87">
        <v>44559</v>
      </c>
      <c r="B60" s="31">
        <v>44585</v>
      </c>
      <c r="C60" s="32" t="s">
        <v>25</v>
      </c>
      <c r="D60" s="32" t="s">
        <v>22</v>
      </c>
      <c r="E60" s="32">
        <v>20</v>
      </c>
      <c r="F60" s="32">
        <v>54</v>
      </c>
      <c r="G60" s="32">
        <v>272</v>
      </c>
      <c r="H60" s="32">
        <v>826638</v>
      </c>
      <c r="I60" s="32">
        <f t="shared" si="1"/>
        <v>-0.5942899962913486</v>
      </c>
      <c r="J60" s="33">
        <f t="shared" si="2"/>
        <v>6227.1113580545798</v>
      </c>
      <c r="N60" s="2"/>
      <c r="O60" s="2"/>
      <c r="P60" s="2"/>
    </row>
    <row r="61" spans="1:17" x14ac:dyDescent="0.3">
      <c r="A61" s="87">
        <v>44559</v>
      </c>
      <c r="B61" s="31">
        <v>44585</v>
      </c>
      <c r="C61" s="32" t="s">
        <v>25</v>
      </c>
      <c r="D61" s="32" t="s">
        <v>22</v>
      </c>
      <c r="E61" s="32">
        <v>35</v>
      </c>
      <c r="F61" s="32">
        <v>55</v>
      </c>
      <c r="G61" s="32">
        <v>218</v>
      </c>
      <c r="H61" s="32">
        <v>993195</v>
      </c>
      <c r="I61" s="32">
        <f t="shared" si="1"/>
        <v>-0.69078039189786578</v>
      </c>
      <c r="J61" s="33">
        <f t="shared" si="2"/>
        <v>7576.4658763241769</v>
      </c>
      <c r="N61" s="2"/>
      <c r="O61" s="2"/>
      <c r="P61" s="2"/>
    </row>
    <row r="62" spans="1:17" ht="17.25" thickBot="1" x14ac:dyDescent="0.35">
      <c r="A62" s="89">
        <v>44559</v>
      </c>
      <c r="B62" s="45">
        <v>44585</v>
      </c>
      <c r="C62" s="39" t="s">
        <v>25</v>
      </c>
      <c r="D62" s="39" t="s">
        <v>22</v>
      </c>
      <c r="E62" s="39">
        <v>50</v>
      </c>
      <c r="F62" s="39">
        <v>56</v>
      </c>
      <c r="G62" s="39">
        <v>236</v>
      </c>
      <c r="H62" s="39">
        <v>1141577</v>
      </c>
      <c r="I62" s="39">
        <f t="shared" si="1"/>
        <v>-0.65861692669569338</v>
      </c>
      <c r="J62" s="41">
        <f t="shared" si="2"/>
        <v>8778.5763978266023</v>
      </c>
      <c r="N62" s="2"/>
      <c r="O62" s="2"/>
      <c r="P62" s="2"/>
    </row>
    <row r="63" spans="1:17" x14ac:dyDescent="0.3">
      <c r="A63" s="77">
        <v>44559</v>
      </c>
      <c r="B63" s="19">
        <v>44585</v>
      </c>
      <c r="C63" s="20" t="s">
        <v>25</v>
      </c>
      <c r="D63" s="20" t="s">
        <v>23</v>
      </c>
      <c r="E63" s="20">
        <v>10</v>
      </c>
      <c r="F63" s="20">
        <v>57</v>
      </c>
      <c r="G63" s="20">
        <v>434</v>
      </c>
      <c r="H63" s="20">
        <v>842111</v>
      </c>
      <c r="I63" s="20">
        <f t="shared" si="1"/>
        <v>-0.3048188094717974</v>
      </c>
      <c r="J63" s="21">
        <f t="shared" si="2"/>
        <v>6352.4652156599968</v>
      </c>
      <c r="N63" s="2"/>
      <c r="O63" s="2"/>
      <c r="P63" s="2"/>
    </row>
    <row r="64" spans="1:17" x14ac:dyDescent="0.3">
      <c r="A64" s="85">
        <v>44559</v>
      </c>
      <c r="B64" s="13">
        <v>44585</v>
      </c>
      <c r="C64" s="16" t="s">
        <v>25</v>
      </c>
      <c r="D64" s="16" t="s">
        <v>23</v>
      </c>
      <c r="E64" s="16">
        <v>20</v>
      </c>
      <c r="F64" s="16">
        <v>58</v>
      </c>
      <c r="G64" s="16">
        <v>242</v>
      </c>
      <c r="H64" s="16">
        <v>1118574</v>
      </c>
      <c r="I64" s="16">
        <f t="shared" si="1"/>
        <v>-0.64789577162830259</v>
      </c>
      <c r="J64" s="17">
        <f t="shared" si="2"/>
        <v>8592.2185624684025</v>
      </c>
      <c r="N64" s="2"/>
      <c r="O64" s="2"/>
      <c r="P64" s="2"/>
    </row>
    <row r="65" spans="1:16" x14ac:dyDescent="0.3">
      <c r="A65" s="85">
        <v>44559</v>
      </c>
      <c r="B65" s="13">
        <v>44585</v>
      </c>
      <c r="C65" s="16" t="s">
        <v>25</v>
      </c>
      <c r="D65" s="16" t="s">
        <v>23</v>
      </c>
      <c r="E65" s="16">
        <v>35</v>
      </c>
      <c r="F65" s="16">
        <v>59</v>
      </c>
      <c r="G65" s="16">
        <v>249</v>
      </c>
      <c r="H65" s="16">
        <v>2161297</v>
      </c>
      <c r="I65" s="16">
        <f t="shared" si="1"/>
        <v>-0.63538775738301334</v>
      </c>
      <c r="J65" s="17">
        <f t="shared" si="2"/>
        <v>17039.795015896532</v>
      </c>
      <c r="N65" s="2"/>
      <c r="O65" s="2"/>
      <c r="P65" s="2"/>
    </row>
    <row r="66" spans="1:16" x14ac:dyDescent="0.3">
      <c r="A66" s="85">
        <v>44559</v>
      </c>
      <c r="B66" s="13">
        <v>44585</v>
      </c>
      <c r="C66" s="16" t="s">
        <v>25</v>
      </c>
      <c r="D66" s="16" t="s">
        <v>23</v>
      </c>
      <c r="E66" s="16">
        <v>50</v>
      </c>
      <c r="F66" s="16">
        <v>60</v>
      </c>
      <c r="G66" s="16">
        <v>238</v>
      </c>
      <c r="H66" s="16">
        <v>2057932</v>
      </c>
      <c r="I66" s="16">
        <f t="shared" si="1"/>
        <v>-0.65504320833989649</v>
      </c>
      <c r="J66" s="17">
        <f t="shared" si="2"/>
        <v>16202.38782327817</v>
      </c>
      <c r="N66" s="2"/>
      <c r="O66" s="2"/>
      <c r="P66" s="2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tabSelected="1" topLeftCell="L1" zoomScale="70" zoomScaleNormal="70" workbookViewId="0">
      <selection activeCell="C21" sqref="C21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6" ht="33.75" thickBot="1" x14ac:dyDescent="0.35">
      <c r="A1" s="95" t="s">
        <v>1</v>
      </c>
      <c r="B1" s="96" t="s">
        <v>5</v>
      </c>
      <c r="C1" s="96" t="s">
        <v>2</v>
      </c>
      <c r="D1" s="97" t="s">
        <v>8</v>
      </c>
      <c r="E1" s="98" t="s">
        <v>9</v>
      </c>
      <c r="F1" s="98" t="s">
        <v>43</v>
      </c>
      <c r="G1" s="98" t="s">
        <v>44</v>
      </c>
      <c r="H1" s="98" t="s">
        <v>45</v>
      </c>
      <c r="I1" s="99"/>
      <c r="J1" s="100" t="s">
        <v>37</v>
      </c>
      <c r="K1" s="100" t="s">
        <v>38</v>
      </c>
      <c r="L1" s="100" t="s">
        <v>39</v>
      </c>
      <c r="M1" s="100" t="s">
        <v>40</v>
      </c>
      <c r="N1" s="100" t="s">
        <v>41</v>
      </c>
      <c r="O1" s="101" t="s">
        <v>42</v>
      </c>
    </row>
    <row r="2" spans="1:16" ht="16.5" x14ac:dyDescent="0.3">
      <c r="A2" s="92" t="s">
        <v>18</v>
      </c>
      <c r="B2" s="93" t="s">
        <v>19</v>
      </c>
      <c r="C2" s="93">
        <v>10</v>
      </c>
      <c r="D2" s="94">
        <f>('STDs and Samples'!I7)</f>
        <v>4.3618730218403234E-2</v>
      </c>
      <c r="E2" s="94">
        <f>('STDs and Samples'!J7)</f>
        <v>2665.3540147419676</v>
      </c>
      <c r="F2" s="94"/>
      <c r="G2" s="94"/>
      <c r="H2" s="94"/>
      <c r="I2" s="5"/>
      <c r="J2" s="5">
        <f>AVERAGE(D2:D6)</f>
        <v>0.39026941073070531</v>
      </c>
      <c r="K2" s="5">
        <f>STDEV(D2:D6)</f>
        <v>0.23397281728948402</v>
      </c>
      <c r="L2" s="5">
        <f>K2/SQRT(5)</f>
        <v>0.10463582486928487</v>
      </c>
      <c r="M2" s="5">
        <f>AVERAGE(E2:E6)</f>
        <v>2221.2904248657824</v>
      </c>
      <c r="N2" s="5">
        <f>STDEV(E2:E6)</f>
        <v>726.16373786672739</v>
      </c>
      <c r="O2" s="8">
        <f>N2/SQRT(5)</f>
        <v>324.7502961330681</v>
      </c>
    </row>
    <row r="3" spans="1:16" ht="16.5" x14ac:dyDescent="0.3">
      <c r="A3" s="90" t="s">
        <v>18</v>
      </c>
      <c r="B3" s="16" t="s">
        <v>20</v>
      </c>
      <c r="C3" s="16">
        <v>10</v>
      </c>
      <c r="D3" s="12">
        <f>('STDs and Samples'!I11)</f>
        <v>0.50105467976041007</v>
      </c>
      <c r="E3" s="12">
        <f>('STDs and Samples'!J11)</f>
        <v>1804.8171599079069</v>
      </c>
      <c r="F3" s="12"/>
      <c r="G3" s="12"/>
      <c r="H3" s="12"/>
      <c r="I3" s="6"/>
      <c r="J3" s="6"/>
      <c r="K3" s="6"/>
      <c r="L3" s="6"/>
      <c r="M3" s="6"/>
      <c r="N3" s="6"/>
      <c r="O3" s="10"/>
      <c r="P3" s="81"/>
    </row>
    <row r="4" spans="1:16" ht="16.5" x14ac:dyDescent="0.3">
      <c r="A4" s="90" t="s">
        <v>18</v>
      </c>
      <c r="B4" s="16" t="s">
        <v>21</v>
      </c>
      <c r="C4" s="16">
        <v>10</v>
      </c>
      <c r="D4" s="12">
        <f>('STDs and Samples'!I15)</f>
        <v>0.6243479630354043</v>
      </c>
      <c r="E4" s="12">
        <f>('STDs and Samples'!J15)</f>
        <v>2989.7525907282738</v>
      </c>
      <c r="F4" s="12"/>
      <c r="G4" s="12"/>
      <c r="H4" s="12"/>
      <c r="I4" s="6"/>
      <c r="J4" s="6"/>
      <c r="K4" s="6"/>
      <c r="L4" s="6"/>
      <c r="M4" s="6"/>
      <c r="N4" s="6"/>
      <c r="O4" s="10"/>
    </row>
    <row r="5" spans="1:16" ht="16.5" x14ac:dyDescent="0.3">
      <c r="A5" s="90" t="s">
        <v>18</v>
      </c>
      <c r="B5" s="16" t="s">
        <v>22</v>
      </c>
      <c r="C5" s="16">
        <v>10</v>
      </c>
      <c r="D5" s="16">
        <f>('STDs and Samples'!I19)</f>
        <v>0.26518926827781275</v>
      </c>
      <c r="E5" s="16">
        <f>('STDs and Samples'!J19)</f>
        <v>2467.9457908505956</v>
      </c>
      <c r="F5" s="16"/>
      <c r="G5" s="16"/>
      <c r="H5" s="16"/>
      <c r="I5" s="6"/>
      <c r="J5" s="6"/>
      <c r="K5" s="6"/>
      <c r="L5" s="6"/>
      <c r="M5" s="6"/>
      <c r="N5" s="6"/>
      <c r="O5" s="10"/>
    </row>
    <row r="6" spans="1:16" ht="17.25" thickBot="1" x14ac:dyDescent="0.35">
      <c r="A6" s="111" t="s">
        <v>18</v>
      </c>
      <c r="B6" s="35" t="s">
        <v>23</v>
      </c>
      <c r="C6" s="35">
        <v>10</v>
      </c>
      <c r="D6" s="35">
        <f>('STDs and Samples'!I23)</f>
        <v>0.51713641236149632</v>
      </c>
      <c r="E6" s="35">
        <f>('STDs and Samples'!J23)</f>
        <v>1178.5825681001681</v>
      </c>
      <c r="F6" s="35"/>
      <c r="G6" s="35"/>
      <c r="H6" s="35"/>
      <c r="I6" s="112"/>
      <c r="J6" s="112"/>
      <c r="K6" s="112"/>
      <c r="L6" s="112"/>
      <c r="M6" s="112"/>
      <c r="N6" s="112"/>
      <c r="O6" s="113"/>
    </row>
    <row r="7" spans="1:16" ht="16.5" x14ac:dyDescent="0.3">
      <c r="A7" s="116" t="s">
        <v>18</v>
      </c>
      <c r="B7" s="117" t="s">
        <v>19</v>
      </c>
      <c r="C7" s="117">
        <v>20</v>
      </c>
      <c r="D7" s="118">
        <f>('STDs and Samples'!I8)</f>
        <v>-0.48529158643954229</v>
      </c>
      <c r="E7" s="118">
        <f>('STDs and Samples'!J8)</f>
        <v>3997.9142108493452</v>
      </c>
      <c r="F7" s="118"/>
      <c r="G7" s="118"/>
      <c r="H7" s="118"/>
      <c r="I7" s="118"/>
      <c r="J7" s="118">
        <f>AVERAGE(D7:D11)</f>
        <v>-0.16329956258223899</v>
      </c>
      <c r="K7" s="118">
        <f>STDEV(D7:D11)</f>
        <v>0.29124543904942579</v>
      </c>
      <c r="L7" s="118">
        <f>K7/SQRT(5)</f>
        <v>0.13024891997025756</v>
      </c>
      <c r="M7" s="118">
        <f>AVERAGE(E7:E11)</f>
        <v>6285.4904634578397</v>
      </c>
      <c r="N7" s="118">
        <f>STDEV(E7:E11)</f>
        <v>1628.2853253199971</v>
      </c>
      <c r="O7" s="119">
        <f>N7/SQRT(5)</f>
        <v>728.19133483617463</v>
      </c>
    </row>
    <row r="8" spans="1:16" ht="16.5" x14ac:dyDescent="0.3">
      <c r="A8" s="102" t="s">
        <v>18</v>
      </c>
      <c r="B8" s="103" t="s">
        <v>20</v>
      </c>
      <c r="C8" s="103">
        <v>20</v>
      </c>
      <c r="D8" s="104">
        <f>('STDs and Samples'!I12)</f>
        <v>-2.6068777719636893E-2</v>
      </c>
      <c r="E8" s="104">
        <f>('STDs and Samples'!J12)</f>
        <v>8420.2084089960172</v>
      </c>
      <c r="F8" s="104"/>
      <c r="G8" s="104"/>
      <c r="H8" s="104"/>
      <c r="I8" s="104"/>
      <c r="J8" s="104"/>
      <c r="K8" s="104"/>
      <c r="L8" s="104"/>
      <c r="M8" s="104"/>
      <c r="N8" s="104"/>
      <c r="O8" s="105"/>
    </row>
    <row r="9" spans="1:16" ht="16.5" x14ac:dyDescent="0.3">
      <c r="A9" s="102" t="s">
        <v>18</v>
      </c>
      <c r="B9" s="103" t="s">
        <v>21</v>
      </c>
      <c r="C9" s="103">
        <v>20</v>
      </c>
      <c r="D9" s="104">
        <f>('STDs and Samples'!I16)</f>
        <v>0.13832226664702185</v>
      </c>
      <c r="E9" s="104">
        <f>('STDs and Samples'!J16)</f>
        <v>6898.0822002143586</v>
      </c>
      <c r="F9" s="104"/>
      <c r="G9" s="104"/>
      <c r="H9" s="104"/>
      <c r="I9" s="104"/>
      <c r="J9" s="104"/>
      <c r="K9" s="104"/>
      <c r="L9" s="104"/>
      <c r="M9" s="104"/>
      <c r="N9" s="104"/>
      <c r="O9" s="105"/>
    </row>
    <row r="10" spans="1:16" ht="16.5" x14ac:dyDescent="0.3">
      <c r="A10" s="102" t="s">
        <v>18</v>
      </c>
      <c r="B10" s="103" t="s">
        <v>22</v>
      </c>
      <c r="C10" s="103">
        <v>20</v>
      </c>
      <c r="D10" s="103">
        <f>('STDs and Samples'!I20)</f>
        <v>2.217642008362164E-2</v>
      </c>
      <c r="E10" s="103">
        <f>('STDs and Samples'!J20)</f>
        <v>6464.4516677817373</v>
      </c>
      <c r="F10" s="103"/>
      <c r="G10" s="103"/>
      <c r="H10" s="103"/>
      <c r="I10" s="104"/>
      <c r="J10" s="104"/>
      <c r="K10" s="104"/>
      <c r="L10" s="104"/>
      <c r="M10" s="104"/>
      <c r="N10" s="104"/>
      <c r="O10" s="105"/>
    </row>
    <row r="11" spans="1:16" ht="17.25" thickBot="1" x14ac:dyDescent="0.35">
      <c r="A11" s="107" t="s">
        <v>18</v>
      </c>
      <c r="B11" s="108" t="s">
        <v>23</v>
      </c>
      <c r="C11" s="108">
        <v>20</v>
      </c>
      <c r="D11" s="108">
        <f>('STDs and Samples'!I24)</f>
        <v>-0.46563613548265925</v>
      </c>
      <c r="E11" s="108">
        <f>('STDs and Samples'!J24)</f>
        <v>5646.7958294477394</v>
      </c>
      <c r="F11" s="108"/>
      <c r="G11" s="108"/>
      <c r="H11" s="108"/>
      <c r="I11" s="109"/>
      <c r="J11" s="109"/>
      <c r="K11" s="109"/>
      <c r="L11" s="109"/>
      <c r="M11" s="109"/>
      <c r="N11" s="109"/>
      <c r="O11" s="110"/>
    </row>
    <row r="12" spans="1:16" ht="16.5" x14ac:dyDescent="0.3">
      <c r="A12" s="92" t="s">
        <v>18</v>
      </c>
      <c r="B12" s="93" t="s">
        <v>19</v>
      </c>
      <c r="C12" s="93">
        <v>35</v>
      </c>
      <c r="D12" s="94">
        <f>('STDs and Samples'!I9)</f>
        <v>-0.52817620670910548</v>
      </c>
      <c r="E12" s="94">
        <f>('STDs and Samples'!J9)</f>
        <v>4932.5551008101911</v>
      </c>
      <c r="F12" s="94"/>
      <c r="G12" s="94"/>
      <c r="H12" s="94"/>
      <c r="I12" s="5"/>
      <c r="J12" s="5">
        <f>AVERAGE(D12:D16)</f>
        <v>-0.24120662273861204</v>
      </c>
      <c r="K12" s="5">
        <f>STDEV(D12:D16)</f>
        <v>0.33176350228581591</v>
      </c>
      <c r="L12" s="5">
        <f>K12/SQRT(5)</f>
        <v>0.14836914871289825</v>
      </c>
      <c r="M12" s="5">
        <f>AVERAGE(E12:E16)</f>
        <v>6509.4682285760409</v>
      </c>
      <c r="N12" s="5">
        <f>STDEV(E12:E16)</f>
        <v>1700.9768025436981</v>
      </c>
      <c r="O12" s="8">
        <f>N12/SQRT(5)</f>
        <v>760.69995172758922</v>
      </c>
    </row>
    <row r="13" spans="1:16" ht="16.5" x14ac:dyDescent="0.3">
      <c r="A13" s="90" t="s">
        <v>18</v>
      </c>
      <c r="B13" s="16" t="s">
        <v>20</v>
      </c>
      <c r="C13" s="16">
        <v>35</v>
      </c>
      <c r="D13" s="12">
        <f>('STDs and Samples'!I13)</f>
        <v>-4.6264675848552983E-3</v>
      </c>
      <c r="E13" s="12">
        <f>('STDs and Samples'!J13)</f>
        <v>6638.1874317801976</v>
      </c>
      <c r="F13" s="12"/>
      <c r="G13" s="12"/>
      <c r="H13" s="12"/>
      <c r="I13" s="6"/>
      <c r="J13" s="6"/>
      <c r="K13" s="6"/>
      <c r="L13" s="6"/>
      <c r="M13" s="6"/>
      <c r="N13" s="6"/>
      <c r="O13" s="10"/>
    </row>
    <row r="14" spans="1:16" ht="16.5" x14ac:dyDescent="0.3">
      <c r="A14" s="90" t="s">
        <v>18</v>
      </c>
      <c r="B14" s="16" t="s">
        <v>21</v>
      </c>
      <c r="C14" s="16">
        <v>35</v>
      </c>
      <c r="D14" s="12">
        <f>('STDs and Samples'!I17)</f>
        <v>0.21158349294085887</v>
      </c>
      <c r="E14" s="12">
        <f>('STDs and Samples'!J17)</f>
        <v>4683.7431267406773</v>
      </c>
      <c r="F14" s="12"/>
      <c r="G14" s="12"/>
      <c r="H14" s="12"/>
      <c r="I14" s="6"/>
      <c r="J14" s="6"/>
      <c r="K14" s="6"/>
      <c r="L14" s="6"/>
      <c r="M14" s="6"/>
      <c r="N14" s="6"/>
      <c r="O14" s="10"/>
    </row>
    <row r="15" spans="1:16" ht="16.5" x14ac:dyDescent="0.3">
      <c r="A15" s="90" t="s">
        <v>18</v>
      </c>
      <c r="B15" s="16" t="s">
        <v>22</v>
      </c>
      <c r="C15" s="16">
        <v>35</v>
      </c>
      <c r="D15" s="16">
        <f>('STDs and Samples'!I21)</f>
        <v>-0.35306400727505594</v>
      </c>
      <c r="E15" s="16">
        <f>('STDs and Samples'!J21)</f>
        <v>7711.9627591814515</v>
      </c>
      <c r="F15" s="16"/>
      <c r="G15" s="16"/>
      <c r="H15" s="16"/>
      <c r="I15" s="6"/>
      <c r="J15" s="6"/>
      <c r="K15" s="6"/>
      <c r="L15" s="6"/>
      <c r="M15" s="6"/>
      <c r="N15" s="6"/>
      <c r="O15" s="10"/>
    </row>
    <row r="16" spans="1:16" ht="17.25" thickBot="1" x14ac:dyDescent="0.35">
      <c r="A16" s="111" t="s">
        <v>18</v>
      </c>
      <c r="B16" s="35" t="s">
        <v>23</v>
      </c>
      <c r="C16" s="35">
        <v>35</v>
      </c>
      <c r="D16" s="35">
        <f>('STDs and Samples'!I25)</f>
        <v>-0.53174992506490237</v>
      </c>
      <c r="E16" s="35">
        <f>('STDs and Samples'!J25)</f>
        <v>8580.8927243676881</v>
      </c>
      <c r="F16" s="35"/>
      <c r="G16" s="35"/>
      <c r="H16" s="35"/>
      <c r="I16" s="112"/>
      <c r="J16" s="112"/>
      <c r="K16" s="112"/>
      <c r="L16" s="112"/>
      <c r="M16" s="112"/>
      <c r="N16" s="112"/>
      <c r="O16" s="113"/>
    </row>
    <row r="17" spans="1:15" ht="16.5" x14ac:dyDescent="0.3">
      <c r="A17" s="116" t="s">
        <v>18</v>
      </c>
      <c r="B17" s="117" t="s">
        <v>19</v>
      </c>
      <c r="C17" s="117">
        <v>50</v>
      </c>
      <c r="D17" s="118">
        <f>('STDs and Samples'!I10)</f>
        <v>-0.6121585880703333</v>
      </c>
      <c r="E17" s="118">
        <f>('STDs and Samples'!J10)</f>
        <v>9962.4343347504055</v>
      </c>
      <c r="F17" s="118"/>
      <c r="G17" s="118"/>
      <c r="H17" s="118"/>
      <c r="I17" s="118"/>
      <c r="J17" s="118">
        <f>AVERAGE(D17:D21)</f>
        <v>-0.33626753100281032</v>
      </c>
      <c r="K17" s="118">
        <f>STDEV(D17:D21)</f>
        <v>0.27902651418133323</v>
      </c>
      <c r="L17" s="118">
        <f>K17/SQRT(5)</f>
        <v>0.12478445064685403</v>
      </c>
      <c r="M17" s="118">
        <f>AVERAGE(E17:E21)</f>
        <v>8867.2630571173995</v>
      </c>
      <c r="N17" s="118">
        <f>STDEV(E17:E21)</f>
        <v>1111.9688309149331</v>
      </c>
      <c r="O17" s="119">
        <f>N17/SQRT(5)</f>
        <v>497.28757895735197</v>
      </c>
    </row>
    <row r="18" spans="1:15" ht="16.5" x14ac:dyDescent="0.3">
      <c r="A18" s="102" t="s">
        <v>18</v>
      </c>
      <c r="B18" s="103" t="s">
        <v>20</v>
      </c>
      <c r="C18" s="103">
        <v>50</v>
      </c>
      <c r="D18" s="104">
        <f>('STDs and Samples'!I14)</f>
        <v>-0.17795180784100639</v>
      </c>
      <c r="E18" s="104">
        <f>('STDs and Samples'!J14)</f>
        <v>8768.0039953076939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5"/>
    </row>
    <row r="19" spans="1:15" ht="16.5" x14ac:dyDescent="0.3">
      <c r="A19" s="102" t="s">
        <v>18</v>
      </c>
      <c r="B19" s="103" t="s">
        <v>21</v>
      </c>
      <c r="C19" s="103">
        <v>50</v>
      </c>
      <c r="D19" s="104">
        <f>('STDs and Samples'!I18)</f>
        <v>5.7913603641591038E-2</v>
      </c>
      <c r="E19" s="104">
        <f>('STDs and Samples'!J18)</f>
        <v>8118.6964514893407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1:15" ht="16.5" x14ac:dyDescent="0.3">
      <c r="A20" s="102" t="s">
        <v>18</v>
      </c>
      <c r="B20" s="103" t="s">
        <v>22</v>
      </c>
      <c r="C20" s="103">
        <v>50</v>
      </c>
      <c r="D20" s="103">
        <f>('STDs and Samples'!I22)</f>
        <v>-0.56570024944497321</v>
      </c>
      <c r="E20" s="103">
        <f>('STDs and Samples'!J22)</f>
        <v>9997.7242852273139</v>
      </c>
      <c r="F20" s="103"/>
      <c r="G20" s="103"/>
      <c r="H20" s="103"/>
      <c r="I20" s="104"/>
      <c r="J20" s="104"/>
      <c r="K20" s="104"/>
      <c r="L20" s="104"/>
      <c r="M20" s="104"/>
      <c r="N20" s="104"/>
      <c r="O20" s="105"/>
    </row>
    <row r="21" spans="1:15" ht="17.25" thickBot="1" x14ac:dyDescent="0.35">
      <c r="A21" s="107" t="s">
        <v>18</v>
      </c>
      <c r="B21" s="108" t="s">
        <v>23</v>
      </c>
      <c r="C21" s="108">
        <v>50</v>
      </c>
      <c r="D21" s="108">
        <f>('STDs and Samples'!I26)</f>
        <v>-0.38344061329932988</v>
      </c>
      <c r="E21" s="108">
        <f>('STDs and Samples'!J26)</f>
        <v>7489.4562188122418</v>
      </c>
      <c r="F21" s="108"/>
      <c r="G21" s="108"/>
      <c r="H21" s="108"/>
      <c r="I21" s="109"/>
      <c r="J21" s="109"/>
      <c r="K21" s="109"/>
      <c r="L21" s="109"/>
      <c r="M21" s="109"/>
      <c r="N21" s="109"/>
      <c r="O21" s="110"/>
    </row>
    <row r="22" spans="1:15" ht="16.5" x14ac:dyDescent="0.3">
      <c r="A22" s="115" t="s">
        <v>24</v>
      </c>
      <c r="B22" s="93" t="s">
        <v>19</v>
      </c>
      <c r="C22" s="93">
        <v>10</v>
      </c>
      <c r="D22" s="93">
        <f>('STDs and Samples'!I27)</f>
        <v>-0.22441014646636648</v>
      </c>
      <c r="E22" s="93">
        <f>('STDs and Samples'!J27)</f>
        <v>4883.5412807033745</v>
      </c>
      <c r="F22" s="93"/>
      <c r="G22" s="93"/>
      <c r="H22" s="93"/>
      <c r="I22" s="5"/>
      <c r="J22" s="5">
        <f>AVERAGE(D22:D26)</f>
        <v>3.5399178000070267E-2</v>
      </c>
      <c r="K22" s="5">
        <f>STDEV(D22:D26)</f>
        <v>0.33102886494443423</v>
      </c>
      <c r="L22" s="5">
        <f>K22/SQRT(5)</f>
        <v>0.1480406089060704</v>
      </c>
      <c r="M22" s="5">
        <f>AVERAGE(E22:E26)</f>
        <v>4582.0147405725329</v>
      </c>
      <c r="N22" s="5">
        <f>STDEV(E22:E26)</f>
        <v>1629.4619804442505</v>
      </c>
      <c r="O22" s="8">
        <f>N22/SQRT(5)</f>
        <v>728.71755100495534</v>
      </c>
    </row>
    <row r="23" spans="1:15" ht="16.5" x14ac:dyDescent="0.3">
      <c r="A23" s="91" t="s">
        <v>24</v>
      </c>
      <c r="B23" s="16" t="s">
        <v>20</v>
      </c>
      <c r="C23" s="16">
        <v>10</v>
      </c>
      <c r="D23" s="12">
        <f>('STDs and Samples'!I31)</f>
        <v>-0.40130920507831447</v>
      </c>
      <c r="E23" s="12">
        <f>('STDs and Samples'!J31)</f>
        <v>7192.9914695578864</v>
      </c>
      <c r="F23" s="12"/>
      <c r="G23" s="12"/>
      <c r="H23" s="12"/>
      <c r="I23" s="6"/>
      <c r="J23" s="6"/>
      <c r="K23" s="6"/>
      <c r="L23" s="6"/>
      <c r="M23" s="6"/>
      <c r="N23" s="6"/>
      <c r="O23" s="10"/>
    </row>
    <row r="24" spans="1:15" ht="16.5" x14ac:dyDescent="0.3">
      <c r="A24" s="91" t="s">
        <v>24</v>
      </c>
      <c r="B24" s="16" t="s">
        <v>21</v>
      </c>
      <c r="C24" s="16">
        <v>10</v>
      </c>
      <c r="D24" s="12">
        <f>('STDs and Samples'!I35)</f>
        <v>0.18835432362817883</v>
      </c>
      <c r="E24" s="12">
        <f>('STDs and Samples'!J35)</f>
        <v>3504.5678324650958</v>
      </c>
      <c r="F24" s="12"/>
      <c r="G24" s="12"/>
      <c r="H24" s="12"/>
      <c r="I24" s="6"/>
      <c r="J24" s="6"/>
      <c r="K24" s="6"/>
      <c r="L24" s="6"/>
      <c r="M24" s="6"/>
      <c r="N24" s="6"/>
      <c r="O24" s="10"/>
    </row>
    <row r="25" spans="1:15" ht="16.5" x14ac:dyDescent="0.3">
      <c r="A25" s="91" t="s">
        <v>24</v>
      </c>
      <c r="B25" s="16" t="s">
        <v>22</v>
      </c>
      <c r="C25" s="16">
        <v>10</v>
      </c>
      <c r="D25" s="12">
        <f>('STDs and Samples'!I39)</f>
        <v>0.37418767812961917</v>
      </c>
      <c r="E25" s="12">
        <f>('STDs and Samples'!J39)</f>
        <v>4323.2201501169675</v>
      </c>
      <c r="F25" s="12"/>
      <c r="G25" s="12"/>
      <c r="H25" s="12"/>
      <c r="I25" s="6"/>
      <c r="J25" s="6"/>
      <c r="K25" s="6"/>
      <c r="L25" s="6"/>
      <c r="M25" s="6"/>
      <c r="N25" s="6"/>
      <c r="O25" s="10"/>
    </row>
    <row r="26" spans="1:15" ht="17.25" thickBot="1" x14ac:dyDescent="0.35">
      <c r="A26" s="114" t="s">
        <v>24</v>
      </c>
      <c r="B26" s="35" t="s">
        <v>23</v>
      </c>
      <c r="C26" s="35">
        <v>10</v>
      </c>
      <c r="D26" s="46">
        <f>('STDs and Samples'!I43)</f>
        <v>0.24017323978723426</v>
      </c>
      <c r="E26" s="46">
        <f>('STDs and Samples'!J43)</f>
        <v>3005.7529700193422</v>
      </c>
      <c r="F26" s="46"/>
      <c r="G26" s="46"/>
      <c r="H26" s="46"/>
      <c r="I26" s="112"/>
      <c r="J26" s="112"/>
      <c r="K26" s="112"/>
      <c r="L26" s="112"/>
      <c r="M26" s="112"/>
      <c r="N26" s="112"/>
      <c r="O26" s="113"/>
    </row>
    <row r="27" spans="1:15" ht="16.5" x14ac:dyDescent="0.3">
      <c r="A27" s="120" t="s">
        <v>24</v>
      </c>
      <c r="B27" s="117" t="s">
        <v>19</v>
      </c>
      <c r="C27" s="117">
        <v>20</v>
      </c>
      <c r="D27" s="117">
        <f>('STDs and Samples'!I28)</f>
        <v>-0.64789577162830259</v>
      </c>
      <c r="E27" s="117">
        <f>('STDs and Samples'!J28)</f>
        <v>7756.9582561852967</v>
      </c>
      <c r="F27" s="117"/>
      <c r="G27" s="117"/>
      <c r="H27" s="117"/>
      <c r="I27" s="118"/>
      <c r="J27" s="118">
        <f>AVERAGE(D27:D31)</f>
        <v>-0.44955440288157311</v>
      </c>
      <c r="K27" s="118">
        <f>STDEV(D27:D31)</f>
        <v>0.15875416710677268</v>
      </c>
      <c r="L27" s="118">
        <f>K27/SQRT(5)</f>
        <v>7.0997021872420962E-2</v>
      </c>
      <c r="M27" s="118">
        <f>AVERAGE(E27:E31)</f>
        <v>6699.7552710006539</v>
      </c>
      <c r="N27" s="118">
        <f>STDEV(E27:E31)</f>
        <v>1460.7978683652032</v>
      </c>
      <c r="O27" s="119">
        <f>N27/SQRT(5)</f>
        <v>653.28866701027675</v>
      </c>
    </row>
    <row r="28" spans="1:15" ht="16.5" x14ac:dyDescent="0.3">
      <c r="A28" s="106" t="s">
        <v>24</v>
      </c>
      <c r="B28" s="103" t="s">
        <v>20</v>
      </c>
      <c r="C28" s="103">
        <v>20</v>
      </c>
      <c r="D28" s="104">
        <f>('STDs and Samples'!I32)</f>
        <v>-0.59607685546924705</v>
      </c>
      <c r="E28" s="104">
        <f>('STDs and Samples'!J32)</f>
        <v>8190.0135851092255</v>
      </c>
      <c r="F28" s="104"/>
      <c r="G28" s="104"/>
      <c r="H28" s="104"/>
      <c r="I28" s="104"/>
      <c r="J28" s="104"/>
      <c r="K28" s="104"/>
      <c r="L28" s="104"/>
      <c r="M28" s="104"/>
      <c r="N28" s="104"/>
      <c r="O28" s="105"/>
    </row>
    <row r="29" spans="1:15" ht="16.5" x14ac:dyDescent="0.3">
      <c r="A29" s="106" t="s">
        <v>24</v>
      </c>
      <c r="B29" s="103" t="s">
        <v>21</v>
      </c>
      <c r="C29" s="103">
        <v>20</v>
      </c>
      <c r="D29" s="104">
        <f>('STDs and Samples'!I36)</f>
        <v>-0.34234285220766514</v>
      </c>
      <c r="E29" s="104">
        <f>('STDs and Samples'!J36)</f>
        <v>6099.2622514255427</v>
      </c>
      <c r="F29" s="104"/>
      <c r="G29" s="104"/>
      <c r="H29" s="104"/>
      <c r="I29" s="104"/>
      <c r="J29" s="104"/>
      <c r="K29" s="104"/>
      <c r="L29" s="104"/>
      <c r="M29" s="104"/>
      <c r="N29" s="104"/>
      <c r="O29" s="105"/>
    </row>
    <row r="30" spans="1:15" ht="16.5" x14ac:dyDescent="0.3">
      <c r="A30" s="106" t="s">
        <v>24</v>
      </c>
      <c r="B30" s="103" t="s">
        <v>22</v>
      </c>
      <c r="C30" s="103">
        <v>20</v>
      </c>
      <c r="D30" s="104">
        <f>('STDs and Samples'!I40)</f>
        <v>-0.3191136828949851</v>
      </c>
      <c r="E30" s="104">
        <f>('STDs and Samples'!J40)</f>
        <v>6938.9621566208043</v>
      </c>
      <c r="F30" s="104"/>
      <c r="G30" s="104"/>
      <c r="H30" s="104"/>
      <c r="I30" s="104"/>
      <c r="J30" s="104"/>
      <c r="K30" s="104"/>
      <c r="L30" s="104"/>
      <c r="M30" s="104"/>
      <c r="N30" s="104"/>
      <c r="O30" s="105"/>
    </row>
    <row r="31" spans="1:15" ht="17.25" thickBot="1" x14ac:dyDescent="0.35">
      <c r="A31" s="121" t="s">
        <v>24</v>
      </c>
      <c r="B31" s="108" t="s">
        <v>23</v>
      </c>
      <c r="C31" s="108">
        <v>20</v>
      </c>
      <c r="D31" s="109">
        <f>('STDs and Samples'!I44)</f>
        <v>-0.34234285220766514</v>
      </c>
      <c r="E31" s="109">
        <f>('STDs and Samples'!J44)</f>
        <v>4513.5801056624005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10"/>
    </row>
    <row r="32" spans="1:15" ht="16.5" x14ac:dyDescent="0.3">
      <c r="A32" s="115" t="s">
        <v>24</v>
      </c>
      <c r="B32" s="93" t="s">
        <v>19</v>
      </c>
      <c r="C32" s="93">
        <v>35</v>
      </c>
      <c r="D32" s="93">
        <f>('STDs and Samples'!I29)</f>
        <v>-0.21726270975477258</v>
      </c>
      <c r="E32" s="93">
        <f>('STDs and Samples'!J29)</f>
        <v>7249.8880081711377</v>
      </c>
      <c r="F32" s="93"/>
      <c r="G32" s="93"/>
      <c r="H32" s="93"/>
      <c r="I32" s="5"/>
      <c r="J32" s="5">
        <f>AVERAGE(D32:D36)</f>
        <v>-0.2798027809812188</v>
      </c>
      <c r="K32" s="5">
        <f>STDEV(D32:D36)</f>
        <v>0.21923458700831716</v>
      </c>
      <c r="L32" s="5">
        <f>K32/SQRT(5)</f>
        <v>9.8044687913937875E-2</v>
      </c>
      <c r="M32" s="5">
        <f>AVERAGE(E32:E36)</f>
        <v>7128.8117203204965</v>
      </c>
      <c r="N32" s="5">
        <f>STDEV(E32:E36)</f>
        <v>1984.5975442827582</v>
      </c>
      <c r="O32" s="8">
        <f>N32/SQRT(5)</f>
        <v>887.53900339907921</v>
      </c>
    </row>
    <row r="33" spans="1:15" ht="16.5" x14ac:dyDescent="0.3">
      <c r="A33" s="91" t="s">
        <v>24</v>
      </c>
      <c r="B33" s="16" t="s">
        <v>20</v>
      </c>
      <c r="C33" s="16">
        <v>35</v>
      </c>
      <c r="D33" s="12">
        <f>('STDs and Samples'!I33)</f>
        <v>-0.66040378587359183</v>
      </c>
      <c r="E33" s="12">
        <f>('STDs and Samples'!J33)</f>
        <v>10469.658510464073</v>
      </c>
      <c r="F33" s="12"/>
      <c r="G33" s="12"/>
      <c r="H33" s="12"/>
      <c r="I33" s="6"/>
      <c r="J33" s="6"/>
      <c r="K33" s="6"/>
      <c r="L33" s="6"/>
      <c r="M33" s="6"/>
      <c r="N33" s="6"/>
      <c r="O33" s="10"/>
    </row>
    <row r="34" spans="1:15" ht="16.5" x14ac:dyDescent="0.3">
      <c r="A34" s="91" t="s">
        <v>24</v>
      </c>
      <c r="B34" s="16" t="s">
        <v>21</v>
      </c>
      <c r="C34" s="16">
        <v>35</v>
      </c>
      <c r="D34" s="12">
        <f>('STDs and Samples'!I37)</f>
        <v>-0.17973866701890484</v>
      </c>
      <c r="E34" s="12">
        <f>('STDs and Samples'!J37)</f>
        <v>5798.487526584935</v>
      </c>
      <c r="F34" s="12"/>
      <c r="G34" s="12"/>
      <c r="H34" s="12"/>
      <c r="I34" s="6"/>
      <c r="J34" s="6"/>
      <c r="K34" s="6"/>
      <c r="L34" s="6"/>
      <c r="M34" s="6"/>
      <c r="N34" s="6"/>
      <c r="O34" s="10"/>
    </row>
    <row r="35" spans="1:15" ht="16.5" x14ac:dyDescent="0.3">
      <c r="A35" s="91" t="s">
        <v>24</v>
      </c>
      <c r="B35" s="16" t="s">
        <v>22</v>
      </c>
      <c r="C35" s="16">
        <v>35</v>
      </c>
      <c r="D35" s="12">
        <f>('STDs and Samples'!I41)</f>
        <v>-0.24049187906745262</v>
      </c>
      <c r="E35" s="12">
        <f>('STDs and Samples'!J41)</f>
        <v>6581.1693712989118</v>
      </c>
      <c r="F35" s="12"/>
      <c r="G35" s="12"/>
      <c r="H35" s="12"/>
      <c r="I35" s="6"/>
      <c r="J35" s="6"/>
      <c r="K35" s="6"/>
      <c r="L35" s="6"/>
      <c r="M35" s="6"/>
      <c r="N35" s="6"/>
      <c r="O35" s="10"/>
    </row>
    <row r="36" spans="1:15" ht="17.25" thickBot="1" x14ac:dyDescent="0.35">
      <c r="A36" s="114" t="s">
        <v>24</v>
      </c>
      <c r="B36" s="35" t="s">
        <v>23</v>
      </c>
      <c r="C36" s="35">
        <v>35</v>
      </c>
      <c r="D36" s="46">
        <f>('STDs and Samples'!I45)</f>
        <v>-0.10111686319137247</v>
      </c>
      <c r="E36" s="46">
        <f>('STDs and Samples'!J45)</f>
        <v>5544.8551850834301</v>
      </c>
      <c r="F36" s="46"/>
      <c r="G36" s="46"/>
      <c r="H36" s="46"/>
      <c r="I36" s="112"/>
      <c r="J36" s="112"/>
      <c r="K36" s="112"/>
      <c r="L36" s="112"/>
      <c r="M36" s="112"/>
      <c r="N36" s="112"/>
      <c r="O36" s="113"/>
    </row>
    <row r="37" spans="1:15" ht="16.5" x14ac:dyDescent="0.3">
      <c r="A37" s="120" t="s">
        <v>24</v>
      </c>
      <c r="B37" s="117" t="s">
        <v>19</v>
      </c>
      <c r="C37" s="117">
        <v>50</v>
      </c>
      <c r="D37" s="117">
        <f>('STDs and Samples'!I30)</f>
        <v>-0.48886530479533929</v>
      </c>
      <c r="E37" s="117">
        <f>('STDs and Samples'!J30)</f>
        <v>14156.154000584065</v>
      </c>
      <c r="F37" s="117"/>
      <c r="G37" s="117"/>
      <c r="H37" s="117"/>
      <c r="I37" s="118"/>
      <c r="J37" s="118">
        <f>AVERAGE(D37:D41)</f>
        <v>-0.48958004846649866</v>
      </c>
      <c r="K37" s="118">
        <f>STDEV(D37:D41)</f>
        <v>0.16961331908695346</v>
      </c>
      <c r="L37" s="118">
        <f>K37/SQRT(5)</f>
        <v>7.585338227355809E-2</v>
      </c>
      <c r="M37" s="118">
        <f>AVERAGE(E37:E41)</f>
        <v>11204.570918999894</v>
      </c>
      <c r="N37" s="118">
        <f>STDEV(E37:E41)</f>
        <v>2064.6713786071359</v>
      </c>
      <c r="O37" s="119">
        <f>N37/SQRT(5)</f>
        <v>923.34911075275215</v>
      </c>
    </row>
    <row r="38" spans="1:15" ht="16.5" x14ac:dyDescent="0.3">
      <c r="A38" s="106" t="s">
        <v>24</v>
      </c>
      <c r="B38" s="103" t="s">
        <v>20</v>
      </c>
      <c r="C38" s="103">
        <v>50</v>
      </c>
      <c r="D38" s="104">
        <f>('STDs and Samples'!I34)</f>
        <v>-0.60322429218084106</v>
      </c>
      <c r="E38" s="104">
        <f>('STDs and Samples'!J34)</f>
        <v>10399.726726139768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16.5" x14ac:dyDescent="0.3">
      <c r="A39" s="106" t="s">
        <v>24</v>
      </c>
      <c r="B39" s="103" t="s">
        <v>21</v>
      </c>
      <c r="C39" s="103">
        <v>50</v>
      </c>
      <c r="D39" s="104">
        <f>('STDs and Samples'!I38)</f>
        <v>-0.37450631740983753</v>
      </c>
      <c r="E39" s="104">
        <f>('STDs and Samples'!J38)</f>
        <v>12007.217996485977</v>
      </c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6.5" x14ac:dyDescent="0.3">
      <c r="A40" s="106" t="s">
        <v>24</v>
      </c>
      <c r="B40" s="103" t="s">
        <v>22</v>
      </c>
      <c r="C40" s="103">
        <v>50</v>
      </c>
      <c r="D40" s="104">
        <f>('STDs and Samples'!I42)</f>
        <v>-0.27980278098121891</v>
      </c>
      <c r="E40" s="104">
        <f>('STDs and Samples'!J42)</f>
        <v>8568.375971960244</v>
      </c>
      <c r="F40" s="104"/>
      <c r="G40" s="104"/>
      <c r="H40" s="104"/>
      <c r="I40" s="104"/>
      <c r="J40" s="104"/>
      <c r="K40" s="104"/>
      <c r="L40" s="104"/>
      <c r="M40" s="104"/>
      <c r="N40" s="104"/>
      <c r="O40" s="105"/>
    </row>
    <row r="41" spans="1:15" ht="17.25" thickBot="1" x14ac:dyDescent="0.35">
      <c r="A41" s="121" t="s">
        <v>24</v>
      </c>
      <c r="B41" s="108" t="s">
        <v>23</v>
      </c>
      <c r="C41" s="108">
        <v>50</v>
      </c>
      <c r="D41" s="109">
        <f>('STDs and Samples'!I46)</f>
        <v>-0.70150154696525657</v>
      </c>
      <c r="E41" s="109">
        <f>('STDs and Samples'!J46)</f>
        <v>10891.379899829419</v>
      </c>
      <c r="F41" s="109"/>
      <c r="G41" s="109"/>
      <c r="H41" s="109"/>
      <c r="I41" s="109"/>
      <c r="J41" s="109"/>
      <c r="K41" s="109"/>
      <c r="L41" s="109"/>
      <c r="M41" s="109"/>
      <c r="N41" s="109"/>
      <c r="O41" s="110"/>
    </row>
    <row r="42" spans="1:15" ht="16.5" x14ac:dyDescent="0.3">
      <c r="A42" s="92" t="s">
        <v>25</v>
      </c>
      <c r="B42" s="93" t="s">
        <v>19</v>
      </c>
      <c r="C42" s="93">
        <v>10</v>
      </c>
      <c r="D42" s="94">
        <f>('STDs and Samples'!I47)</f>
        <v>0.35453222717273603</v>
      </c>
      <c r="E42" s="94">
        <f>('STDs and Samples'!J47)</f>
        <v>1866.0155726495423</v>
      </c>
      <c r="F42" s="94"/>
      <c r="G42" s="94"/>
      <c r="H42" s="94"/>
      <c r="I42" s="5"/>
      <c r="J42" s="5">
        <f>AVERAGE(D42:D46)</f>
        <v>0.18049214324542556</v>
      </c>
      <c r="K42" s="5">
        <f>STDEV(D42:D46)</f>
        <v>0.3007995789218299</v>
      </c>
      <c r="L42" s="5">
        <f>K42/SQRT(5)</f>
        <v>0.1345216612145049</v>
      </c>
      <c r="M42" s="5">
        <f>AVERAGE(E42:E46)</f>
        <v>4260.9215593967365</v>
      </c>
      <c r="N42" s="5">
        <f>STDEV(E42:E46)</f>
        <v>2291.7829743450447</v>
      </c>
      <c r="O42" s="8">
        <f>N42/SQRT(5)</f>
        <v>1024.9165040624353</v>
      </c>
    </row>
    <row r="43" spans="1:15" ht="16.5" x14ac:dyDescent="0.3">
      <c r="A43" s="90" t="s">
        <v>25</v>
      </c>
      <c r="B43" s="16" t="s">
        <v>20</v>
      </c>
      <c r="C43" s="16">
        <v>10</v>
      </c>
      <c r="D43" s="12">
        <f>('STDs and Samples'!I51)</f>
        <v>0.1258142524017325</v>
      </c>
      <c r="E43" s="12">
        <f>('STDs and Samples'!J51)</f>
        <v>6930.2449879538735</v>
      </c>
      <c r="F43" s="12"/>
      <c r="G43" s="12"/>
      <c r="H43" s="12"/>
      <c r="I43" s="6"/>
      <c r="J43" s="6"/>
      <c r="K43" s="6"/>
      <c r="L43" s="6"/>
      <c r="M43" s="6"/>
      <c r="N43" s="6"/>
      <c r="O43" s="10"/>
    </row>
    <row r="44" spans="1:15" ht="16.5" x14ac:dyDescent="0.3">
      <c r="A44" s="90" t="s">
        <v>25</v>
      </c>
      <c r="B44" s="16" t="s">
        <v>21</v>
      </c>
      <c r="C44" s="16">
        <v>10</v>
      </c>
      <c r="D44" s="12">
        <f>('STDs and Samples'!I55)</f>
        <v>0.47782551044773003</v>
      </c>
      <c r="E44" s="12">
        <f>('STDs and Samples'!J55)</f>
        <v>3776.0719900253844</v>
      </c>
      <c r="F44" s="12"/>
      <c r="G44" s="12"/>
      <c r="H44" s="12"/>
      <c r="I44" s="6"/>
      <c r="J44" s="6"/>
      <c r="K44" s="6"/>
      <c r="L44" s="6"/>
      <c r="M44" s="6"/>
      <c r="N44" s="6"/>
      <c r="O44" s="10"/>
    </row>
    <row r="45" spans="1:15" ht="16.5" x14ac:dyDescent="0.3">
      <c r="A45" s="90" t="s">
        <v>25</v>
      </c>
      <c r="B45" s="16" t="s">
        <v>22</v>
      </c>
      <c r="C45" s="16">
        <v>10</v>
      </c>
      <c r="D45" s="12">
        <f>('STDs and Samples'!I59)</f>
        <v>0.24910753567672672</v>
      </c>
      <c r="E45" s="12">
        <f>('STDs and Samples'!J59)</f>
        <v>2379.8100306948832</v>
      </c>
      <c r="F45" s="12"/>
      <c r="G45" s="12"/>
      <c r="H45" s="12"/>
      <c r="I45" s="6"/>
      <c r="J45" s="6"/>
      <c r="K45" s="6"/>
      <c r="L45" s="6"/>
      <c r="M45" s="6"/>
      <c r="N45" s="6"/>
      <c r="O45" s="10"/>
    </row>
    <row r="46" spans="1:15" ht="17.25" thickBot="1" x14ac:dyDescent="0.35">
      <c r="A46" s="111" t="s">
        <v>25</v>
      </c>
      <c r="B46" s="35" t="s">
        <v>23</v>
      </c>
      <c r="C46" s="35">
        <v>10</v>
      </c>
      <c r="D46" s="46">
        <f>('STDs and Samples'!I63)</f>
        <v>-0.3048188094717974</v>
      </c>
      <c r="E46" s="46">
        <f>('STDs and Samples'!J63)</f>
        <v>6352.4652156599968</v>
      </c>
      <c r="F46" s="46"/>
      <c r="G46" s="46"/>
      <c r="H46" s="46"/>
      <c r="I46" s="112"/>
      <c r="J46" s="112"/>
      <c r="K46" s="112"/>
      <c r="L46" s="112"/>
      <c r="M46" s="112"/>
      <c r="N46" s="112"/>
      <c r="O46" s="113"/>
    </row>
    <row r="47" spans="1:15" ht="16.5" x14ac:dyDescent="0.3">
      <c r="A47" s="116" t="s">
        <v>25</v>
      </c>
      <c r="B47" s="117" t="s">
        <v>19</v>
      </c>
      <c r="C47" s="117">
        <v>20</v>
      </c>
      <c r="D47" s="118">
        <f>('STDs and Samples'!I48)</f>
        <v>-0.71400956121054582</v>
      </c>
      <c r="E47" s="118">
        <f>('STDs and Samples'!J48)</f>
        <v>9119.2264982979123</v>
      </c>
      <c r="F47" s="118"/>
      <c r="G47" s="118"/>
      <c r="H47" s="118"/>
      <c r="I47" s="118"/>
      <c r="J47" s="118">
        <f>AVERAGE(D47:D51)</f>
        <v>-0.64217782225902753</v>
      </c>
      <c r="K47" s="118">
        <f>STDEV(D47:D51)</f>
        <v>4.6824575716712842E-2</v>
      </c>
      <c r="L47" s="118">
        <f>K47/SQRT(5)</f>
        <v>2.094058686403117E-2</v>
      </c>
      <c r="M47" s="118">
        <f>AVERAGE(E47:E51)</f>
        <v>9585.6047437281813</v>
      </c>
      <c r="N47" s="118">
        <f>STDEV(E47:E51)</f>
        <v>2464.6810349145167</v>
      </c>
      <c r="O47" s="119">
        <f>N47/SQRT(5)</f>
        <v>1102.2388673846783</v>
      </c>
    </row>
    <row r="48" spans="1:15" ht="16.5" x14ac:dyDescent="0.3">
      <c r="A48" s="102" t="s">
        <v>25</v>
      </c>
      <c r="B48" s="103" t="s">
        <v>20</v>
      </c>
      <c r="C48" s="103">
        <v>20</v>
      </c>
      <c r="D48" s="104">
        <f>('STDs and Samples'!I52)</f>
        <v>-0.60679801053663796</v>
      </c>
      <c r="E48" s="104">
        <f>('STDs and Samples'!J52)</f>
        <v>11673.016656478307</v>
      </c>
      <c r="F48" s="104"/>
      <c r="G48" s="104"/>
      <c r="H48" s="104"/>
      <c r="I48" s="104"/>
      <c r="J48" s="104"/>
      <c r="K48" s="104"/>
      <c r="L48" s="104"/>
      <c r="M48" s="104"/>
      <c r="N48" s="104"/>
      <c r="O48" s="105"/>
    </row>
    <row r="49" spans="1:15" ht="16.5" x14ac:dyDescent="0.3">
      <c r="A49" s="102" t="s">
        <v>25</v>
      </c>
      <c r="B49" s="103" t="s">
        <v>21</v>
      </c>
      <c r="C49" s="103">
        <v>20</v>
      </c>
      <c r="D49" s="104">
        <f>('STDs and Samples'!I56)</f>
        <v>-0.64789577162830259</v>
      </c>
      <c r="E49" s="104">
        <f>('STDs and Samples'!J56)</f>
        <v>12316.450643341712</v>
      </c>
      <c r="F49" s="104"/>
      <c r="G49" s="104"/>
      <c r="H49" s="104"/>
      <c r="I49" s="104"/>
      <c r="J49" s="104"/>
      <c r="K49" s="104"/>
      <c r="L49" s="104"/>
      <c r="M49" s="104"/>
      <c r="N49" s="104"/>
      <c r="O49" s="105"/>
    </row>
    <row r="50" spans="1:15" ht="16.5" x14ac:dyDescent="0.3">
      <c r="A50" s="102" t="s">
        <v>25</v>
      </c>
      <c r="B50" s="103" t="s">
        <v>22</v>
      </c>
      <c r="C50" s="103">
        <v>20</v>
      </c>
      <c r="D50" s="104">
        <f>('STDs and Samples'!I60)</f>
        <v>-0.5942899962913486</v>
      </c>
      <c r="E50" s="104">
        <f>('STDs and Samples'!J60)</f>
        <v>6227.1113580545798</v>
      </c>
      <c r="F50" s="104"/>
      <c r="G50" s="104"/>
      <c r="H50" s="104"/>
      <c r="I50" s="104"/>
      <c r="J50" s="104"/>
      <c r="K50" s="104"/>
      <c r="L50" s="104"/>
      <c r="M50" s="104"/>
      <c r="N50" s="104"/>
      <c r="O50" s="105"/>
    </row>
    <row r="51" spans="1:15" ht="17.25" thickBot="1" x14ac:dyDescent="0.35">
      <c r="A51" s="107" t="s">
        <v>25</v>
      </c>
      <c r="B51" s="108" t="s">
        <v>23</v>
      </c>
      <c r="C51" s="108">
        <v>20</v>
      </c>
      <c r="D51" s="109">
        <f>('STDs and Samples'!I64)</f>
        <v>-0.64789577162830259</v>
      </c>
      <c r="E51" s="109">
        <f>('STDs and Samples'!J64)</f>
        <v>8592.2185624684025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10"/>
    </row>
    <row r="52" spans="1:15" ht="16.5" x14ac:dyDescent="0.3">
      <c r="A52" s="92" t="s">
        <v>25</v>
      </c>
      <c r="B52" s="93" t="s">
        <v>19</v>
      </c>
      <c r="C52" s="93">
        <v>35</v>
      </c>
      <c r="D52" s="94">
        <f>('STDs and Samples'!I49)</f>
        <v>-0.50316017821852699</v>
      </c>
      <c r="E52" s="94">
        <f>('STDs and Samples'!J49)</f>
        <v>8162.3471064869482</v>
      </c>
      <c r="F52" s="94"/>
      <c r="G52" s="94"/>
      <c r="H52" s="94"/>
      <c r="I52" s="5"/>
      <c r="J52" s="5">
        <f>AVERAGE(D52:D56)</f>
        <v>-0.32661849144215871</v>
      </c>
      <c r="K52" s="5">
        <f>STDEV(D52:D56)</f>
        <v>0.48522258856530509</v>
      </c>
      <c r="L52" s="5">
        <f>K52/SQRT(5)</f>
        <v>0.21699813845008686</v>
      </c>
      <c r="M52" s="5">
        <f>AVERAGE(E52:E56)</f>
        <v>9355.2462703924393</v>
      </c>
      <c r="N52" s="5">
        <f>STDEV(E52:E56)</f>
        <v>5002.3557007026147</v>
      </c>
      <c r="O52" s="8">
        <f>N52/SQRT(5)</f>
        <v>2237.1214788809275</v>
      </c>
    </row>
    <row r="53" spans="1:15" ht="16.5" x14ac:dyDescent="0.3">
      <c r="A53" s="90" t="s">
        <v>25</v>
      </c>
      <c r="B53" s="16" t="s">
        <v>20</v>
      </c>
      <c r="C53" s="16">
        <v>35</v>
      </c>
      <c r="D53" s="12">
        <f>('STDs and Samples'!I53)</f>
        <v>-0.30303195029389896</v>
      </c>
      <c r="E53" s="12">
        <f>('STDs and Samples'!J53)</f>
        <v>10558.960880552906</v>
      </c>
      <c r="F53" s="12"/>
      <c r="G53" s="12"/>
      <c r="H53" s="12"/>
      <c r="I53" s="6"/>
      <c r="J53" s="6"/>
      <c r="K53" s="6"/>
      <c r="L53" s="6"/>
      <c r="M53" s="6"/>
      <c r="N53" s="6"/>
      <c r="O53" s="10"/>
    </row>
    <row r="54" spans="1:15" ht="16.5" x14ac:dyDescent="0.3">
      <c r="A54" s="90" t="s">
        <v>25</v>
      </c>
      <c r="B54" s="16" t="s">
        <v>21</v>
      </c>
      <c r="C54" s="16">
        <v>35</v>
      </c>
      <c r="D54" s="12">
        <f>('STDs and Samples'!I57)</f>
        <v>0.49926782058251162</v>
      </c>
      <c r="E54" s="12">
        <f>('STDs and Samples'!J57)</f>
        <v>3438.6624727016324</v>
      </c>
      <c r="F54" s="12"/>
      <c r="G54" s="12"/>
      <c r="H54" s="12"/>
      <c r="I54" s="6"/>
      <c r="J54" s="6"/>
      <c r="K54" s="6"/>
      <c r="L54" s="6"/>
      <c r="M54" s="6"/>
      <c r="N54" s="6"/>
      <c r="O54" s="10"/>
    </row>
    <row r="55" spans="1:15" ht="16.5" x14ac:dyDescent="0.3">
      <c r="A55" s="90" t="s">
        <v>25</v>
      </c>
      <c r="B55" s="16" t="s">
        <v>22</v>
      </c>
      <c r="C55" s="16">
        <v>35</v>
      </c>
      <c r="D55" s="12">
        <f>('STDs and Samples'!I61)</f>
        <v>-0.69078039189786578</v>
      </c>
      <c r="E55" s="12">
        <f>('STDs and Samples'!J61)</f>
        <v>7576.4658763241769</v>
      </c>
      <c r="F55" s="12"/>
      <c r="G55" s="12"/>
      <c r="H55" s="12"/>
      <c r="I55" s="6"/>
      <c r="J55" s="6"/>
      <c r="K55" s="6"/>
      <c r="L55" s="6"/>
      <c r="M55" s="6"/>
      <c r="N55" s="6"/>
      <c r="O55" s="10"/>
    </row>
    <row r="56" spans="1:15" ht="17.25" thickBot="1" x14ac:dyDescent="0.35">
      <c r="A56" s="111" t="s">
        <v>25</v>
      </c>
      <c r="B56" s="35" t="s">
        <v>23</v>
      </c>
      <c r="C56" s="35">
        <v>35</v>
      </c>
      <c r="D56" s="46">
        <f>('STDs and Samples'!I65)</f>
        <v>-0.63538775738301334</v>
      </c>
      <c r="E56" s="46">
        <f>('STDs and Samples'!J65)</f>
        <v>17039.795015896532</v>
      </c>
      <c r="F56" s="46"/>
      <c r="G56" s="46"/>
      <c r="H56" s="46"/>
      <c r="I56" s="112"/>
      <c r="J56" s="112"/>
      <c r="K56" s="112"/>
      <c r="L56" s="112"/>
      <c r="M56" s="112"/>
      <c r="N56" s="112"/>
      <c r="O56" s="113"/>
    </row>
    <row r="57" spans="1:15" ht="16.5" x14ac:dyDescent="0.3">
      <c r="A57" s="116" t="s">
        <v>25</v>
      </c>
      <c r="B57" s="117" t="s">
        <v>19</v>
      </c>
      <c r="C57" s="117">
        <v>50</v>
      </c>
      <c r="D57" s="118">
        <f>('STDs and Samples'!I50)</f>
        <v>-0.71043584285474881</v>
      </c>
      <c r="E57" s="118">
        <f>('STDs and Samples'!J50)</f>
        <v>11184.879515503757</v>
      </c>
      <c r="F57" s="118"/>
      <c r="G57" s="118"/>
      <c r="H57" s="118"/>
      <c r="I57" s="118"/>
      <c r="J57" s="118">
        <f>AVERAGE(D57:D61)</f>
        <v>-0.46599350731823891</v>
      </c>
      <c r="K57" s="118">
        <f>STDEV(D57:D61)</f>
        <v>0.33549060278871595</v>
      </c>
      <c r="L57" s="118">
        <f>K57/SQRT(5)</f>
        <v>0.15003595872958986</v>
      </c>
      <c r="M57" s="118">
        <f>AVERAGE(E57:E61)</f>
        <v>12323.529697227552</v>
      </c>
      <c r="N57" s="118">
        <f>STDEV(E57:E61)</f>
        <v>4615.6105185565684</v>
      </c>
      <c r="O57" s="119">
        <f>N57/SQRT(5)</f>
        <v>2064.1637754311082</v>
      </c>
    </row>
    <row r="58" spans="1:15" ht="16.5" x14ac:dyDescent="0.3">
      <c r="A58" s="102" t="s">
        <v>25</v>
      </c>
      <c r="B58" s="103" t="s">
        <v>20</v>
      </c>
      <c r="C58" s="103">
        <v>50</v>
      </c>
      <c r="D58" s="104">
        <f>('STDs and Samples'!I54)</f>
        <v>9.3650787199560215E-2</v>
      </c>
      <c r="E58" s="104">
        <f>('STDs and Samples'!J54)</f>
        <v>7435.2088569221187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5"/>
    </row>
    <row r="59" spans="1:15" ht="16.5" x14ac:dyDescent="0.3">
      <c r="A59" s="102" t="s">
        <v>25</v>
      </c>
      <c r="B59" s="103" t="s">
        <v>21</v>
      </c>
      <c r="C59" s="103">
        <v>50</v>
      </c>
      <c r="D59" s="104">
        <f>('STDs and Samples'!I58)</f>
        <v>-0.39952234590041602</v>
      </c>
      <c r="E59" s="104">
        <f>('STDs and Samples'!J58)</f>
        <v>18016.595892607111</v>
      </c>
      <c r="F59" s="104"/>
      <c r="G59" s="104"/>
      <c r="H59" s="104"/>
      <c r="I59" s="104"/>
      <c r="J59" s="104"/>
      <c r="K59" s="104"/>
      <c r="L59" s="104"/>
      <c r="M59" s="104"/>
      <c r="N59" s="104"/>
      <c r="O59" s="105"/>
    </row>
    <row r="60" spans="1:15" ht="16.5" x14ac:dyDescent="0.3">
      <c r="A60" s="102" t="s">
        <v>25</v>
      </c>
      <c r="B60" s="103" t="s">
        <v>22</v>
      </c>
      <c r="C60" s="103">
        <v>50</v>
      </c>
      <c r="D60" s="104">
        <f>('STDs and Samples'!I62)</f>
        <v>-0.65861692669569338</v>
      </c>
      <c r="E60" s="104">
        <f>('STDs and Samples'!J62)</f>
        <v>8778.5763978266023</v>
      </c>
      <c r="F60" s="104"/>
      <c r="G60" s="104"/>
      <c r="H60" s="104"/>
      <c r="I60" s="104"/>
      <c r="J60" s="104"/>
      <c r="K60" s="104"/>
      <c r="L60" s="104"/>
      <c r="M60" s="104"/>
      <c r="N60" s="104"/>
      <c r="O60" s="105"/>
    </row>
    <row r="61" spans="1:15" ht="17.25" thickBot="1" x14ac:dyDescent="0.35">
      <c r="A61" s="107" t="s">
        <v>25</v>
      </c>
      <c r="B61" s="108" t="s">
        <v>23</v>
      </c>
      <c r="C61" s="108">
        <v>50</v>
      </c>
      <c r="D61" s="109">
        <f>('STDs and Samples'!I66)</f>
        <v>-0.65504320833989649</v>
      </c>
      <c r="E61" s="109">
        <f>('STDs and Samples'!J66)</f>
        <v>16202.38782327817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10"/>
    </row>
    <row r="62" spans="1:15" ht="16.5" x14ac:dyDescent="0.3">
      <c r="A62" s="79"/>
      <c r="B62" s="79"/>
      <c r="C62" s="79"/>
      <c r="D62" s="79"/>
      <c r="E62" s="79"/>
      <c r="F62" s="79"/>
      <c r="G62" s="79"/>
      <c r="H62" s="79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Stearns, Alice</cp:lastModifiedBy>
  <cp:lastPrinted>2021-07-14T18:10:05Z</cp:lastPrinted>
  <dcterms:created xsi:type="dcterms:W3CDTF">2014-08-19T17:33:21Z</dcterms:created>
  <dcterms:modified xsi:type="dcterms:W3CDTF">2022-01-25T21:08:03Z</dcterms:modified>
</cp:coreProperties>
</file>