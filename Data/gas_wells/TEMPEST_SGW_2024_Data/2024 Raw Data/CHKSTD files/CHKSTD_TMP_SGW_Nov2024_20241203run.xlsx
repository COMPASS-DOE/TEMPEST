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11" i="1"/>
  <c r="H11"/>
  <c r="E11"/>
</calcChain>
</file>

<file path=xl/sharedStrings.xml><?xml version="1.0" encoding="utf-8"?>
<sst xmlns="http://schemas.openxmlformats.org/spreadsheetml/2006/main" count="13" uniqueCount="7">
  <si>
    <t>Low CH4</t>
  </si>
  <si>
    <t>High CH4</t>
  </si>
  <si>
    <t>CO2</t>
  </si>
  <si>
    <t>Name</t>
  </si>
  <si>
    <t>Area</t>
  </si>
  <si>
    <t>R2</t>
  </si>
  <si>
    <t>for 2500 CH4, used 6 mL 10000ppm: 6 mL N2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</si>
</sst>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2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/>
    <cellStyle name="Normal 3" xfId="2"/>
    <cellStyle name="Normal 4" xfId="3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5069291338582675"/>
                  <c:y val="0.13841426071741034"/>
                </c:manualLayout>
              </c:layout>
              <c:numFmt formatCode="General" sourceLinked="0"/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518</c:v>
                </c:pt>
                <c:pt idx="1">
                  <c:v>1282</c:v>
                </c:pt>
                <c:pt idx="2">
                  <c:v>2534</c:v>
                </c:pt>
                <c:pt idx="3">
                  <c:v>5650</c:v>
                </c:pt>
                <c:pt idx="4">
                  <c:v>13327</c:v>
                </c:pt>
                <c:pt idx="5">
                  <c:v>26616</c:v>
                </c:pt>
                <c:pt idx="6">
                  <c:v>50602</c:v>
                </c:pt>
              </c:numCache>
            </c:numRef>
          </c:yVal>
        </c:ser>
        <c:axId val="64494208"/>
        <c:axId val="64492672"/>
      </c:scatterChart>
      <c:valAx>
        <c:axId val="64494208"/>
        <c:scaling>
          <c:orientation val="minMax"/>
        </c:scaling>
        <c:axPos val="b"/>
        <c:numFmt formatCode="General" sourceLinked="1"/>
        <c:tickLblPos val="nextTo"/>
        <c:crossAx val="64492672"/>
        <c:crosses val="autoZero"/>
        <c:crossBetween val="midCat"/>
      </c:valAx>
      <c:valAx>
        <c:axId val="64492672"/>
        <c:scaling>
          <c:orientation val="minMax"/>
        </c:scaling>
        <c:axPos val="l"/>
        <c:majorGridlines/>
        <c:numFmt formatCode="General" sourceLinked="1"/>
        <c:tickLblPos val="nextTo"/>
        <c:crossAx val="644942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5495100612423447"/>
                  <c:y val="0.1661920384951881"/>
                </c:manualLayout>
              </c:layout>
              <c:numFmt formatCode="General" sourceLinked="0"/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50602</c:v>
                </c:pt>
                <c:pt idx="1">
                  <c:v>121296</c:v>
                </c:pt>
                <c:pt idx="2">
                  <c:v>258863</c:v>
                </c:pt>
                <c:pt idx="3">
                  <c:v>1152879</c:v>
                </c:pt>
                <c:pt idx="4">
                  <c:v>2424655</c:v>
                </c:pt>
                <c:pt idx="5">
                  <c:v>5652553</c:v>
                </c:pt>
              </c:numCache>
            </c:numRef>
          </c:yVal>
        </c:ser>
        <c:axId val="82491264"/>
        <c:axId val="64545152"/>
      </c:scatterChart>
      <c:valAx>
        <c:axId val="82491264"/>
        <c:scaling>
          <c:orientation val="minMax"/>
        </c:scaling>
        <c:axPos val="b"/>
        <c:numFmt formatCode="General" sourceLinked="1"/>
        <c:tickLblPos val="nextTo"/>
        <c:crossAx val="64545152"/>
        <c:crosses val="autoZero"/>
        <c:crossBetween val="midCat"/>
      </c:valAx>
      <c:valAx>
        <c:axId val="64545152"/>
        <c:scaling>
          <c:orientation val="minMax"/>
        </c:scaling>
        <c:axPos val="l"/>
        <c:majorGridlines/>
        <c:numFmt formatCode="General" sourceLinked="1"/>
        <c:tickLblPos val="nextTo"/>
        <c:crossAx val="82491264"/>
        <c:crosses val="autoZero"/>
        <c:crossBetween val="midCat"/>
      </c:valAx>
    </c:plotArea>
    <c:legend>
      <c:legendPos val="r"/>
      <c:legendEntry>
        <c:idx val="-1"/>
        <c:delete val="1"/>
      </c:legendEntry>
      <c:legendEntry>
        <c:idx val="-1"/>
        <c:delete val="1"/>
      </c:legendEntry>
      <c:legendEntry>
        <c:idx val="-1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5772878390201224"/>
                  <c:y val="0.15312736949547973"/>
                </c:manualLayout>
              </c:layout>
              <c:numFmt formatCode="General" sourceLinked="0"/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125</c:v>
                </c:pt>
                <c:pt idx="1">
                  <c:v>500</c:v>
                </c:pt>
                <c:pt idx="2">
                  <c:v>2500</c:v>
                </c:pt>
                <c:pt idx="3">
                  <c:v>5000</c:v>
                </c:pt>
                <c:pt idx="4">
                  <c:v>50000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22051</c:v>
                </c:pt>
                <c:pt idx="1">
                  <c:v>80711</c:v>
                </c:pt>
                <c:pt idx="2">
                  <c:v>353427</c:v>
                </c:pt>
                <c:pt idx="3">
                  <c:v>703618</c:v>
                </c:pt>
                <c:pt idx="4">
                  <c:v>7047514</c:v>
                </c:pt>
              </c:numCache>
            </c:numRef>
          </c:yVal>
        </c:ser>
        <c:axId val="64742528"/>
        <c:axId val="82754560"/>
      </c:scatterChart>
      <c:valAx>
        <c:axId val="64742528"/>
        <c:scaling>
          <c:orientation val="minMax"/>
        </c:scaling>
        <c:axPos val="b"/>
        <c:numFmt formatCode="General" sourceLinked="1"/>
        <c:tickLblPos val="nextTo"/>
        <c:crossAx val="82754560"/>
        <c:crosses val="autoZero"/>
        <c:crossBetween val="midCat"/>
      </c:valAx>
      <c:valAx>
        <c:axId val="82754560"/>
        <c:scaling>
          <c:orientation val="minMax"/>
        </c:scaling>
        <c:axPos val="l"/>
        <c:majorGridlines/>
        <c:numFmt formatCode="General" sourceLinked="1"/>
        <c:tickLblPos val="nextTo"/>
        <c:crossAx val="647425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0</xdr:row>
      <xdr:rowOff>28575</xdr:rowOff>
    </xdr:from>
    <xdr:to>
      <xdr:col>16</xdr:col>
      <xdr:colOff>361950</xdr:colOff>
      <xdr:row>14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14</xdr:row>
      <xdr:rowOff>152400</xdr:rowOff>
    </xdr:from>
    <xdr:to>
      <xdr:col>16</xdr:col>
      <xdr:colOff>381000</xdr:colOff>
      <xdr:row>29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15</xdr:row>
      <xdr:rowOff>57150</xdr:rowOff>
    </xdr:from>
    <xdr:to>
      <xdr:col>8</xdr:col>
      <xdr:colOff>47625</xdr:colOff>
      <xdr:row>29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I24" sqref="I24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 s="2">
        <v>518</v>
      </c>
      <c r="D3">
        <v>100</v>
      </c>
      <c r="E3" s="3">
        <v>50602</v>
      </c>
      <c r="G3">
        <v>125</v>
      </c>
      <c r="H3" s="5">
        <v>22051</v>
      </c>
    </row>
    <row r="4" spans="1:8">
      <c r="A4">
        <v>2.5</v>
      </c>
      <c r="B4" s="2">
        <v>1282</v>
      </c>
      <c r="D4">
        <v>250</v>
      </c>
      <c r="E4" s="4">
        <v>121296</v>
      </c>
      <c r="G4">
        <v>500</v>
      </c>
      <c r="H4" s="5">
        <v>80711</v>
      </c>
    </row>
    <row r="5" spans="1:8">
      <c r="A5">
        <v>5</v>
      </c>
      <c r="B5" s="2">
        <v>2534</v>
      </c>
      <c r="D5">
        <v>500</v>
      </c>
      <c r="E5" s="4">
        <v>258863</v>
      </c>
      <c r="G5">
        <v>2500</v>
      </c>
      <c r="H5" s="5">
        <v>353427</v>
      </c>
    </row>
    <row r="6" spans="1:8">
      <c r="A6">
        <v>10</v>
      </c>
      <c r="B6" s="2">
        <v>5650</v>
      </c>
      <c r="D6">
        <v>2500</v>
      </c>
      <c r="E6" s="4">
        <v>1152879</v>
      </c>
      <c r="G6">
        <v>5000</v>
      </c>
      <c r="H6" s="5">
        <v>703618</v>
      </c>
    </row>
    <row r="7" spans="1:8">
      <c r="A7">
        <v>25</v>
      </c>
      <c r="B7" s="2">
        <v>13327</v>
      </c>
      <c r="D7">
        <v>5000</v>
      </c>
      <c r="E7" s="4">
        <v>2424655</v>
      </c>
      <c r="G7">
        <v>50000</v>
      </c>
      <c r="H7" s="5">
        <v>7047514</v>
      </c>
    </row>
    <row r="8" spans="1:8">
      <c r="A8">
        <v>50</v>
      </c>
      <c r="B8" s="3">
        <v>26616</v>
      </c>
      <c r="D8">
        <v>10000</v>
      </c>
      <c r="E8" s="6">
        <v>5652553</v>
      </c>
      <c r="H8" s="1"/>
    </row>
    <row r="9" spans="1:8">
      <c r="A9">
        <v>100</v>
      </c>
      <c r="B9" s="3">
        <v>50602</v>
      </c>
    </row>
    <row r="11" spans="1:8">
      <c r="A11" t="s">
        <v>5</v>
      </c>
      <c r="B11">
        <f>RSQ(A3:A9,B3:B9)</f>
        <v>0.99925356389890263</v>
      </c>
      <c r="D11" t="s">
        <v>5</v>
      </c>
      <c r="E11">
        <f>RSQ(D3:D8,E3:E8)</f>
        <v>0.99399158204168758</v>
      </c>
      <c r="G11" t="s">
        <v>5</v>
      </c>
      <c r="H11">
        <f>RSQ(G3:G7,H3:H7)</f>
        <v>0.9999981195707468</v>
      </c>
    </row>
    <row r="14" spans="1:8">
      <c r="B14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2024-12-03T19:03:23Z</dcterms:modified>
</cp:coreProperties>
</file>